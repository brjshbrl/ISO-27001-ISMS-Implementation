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Summary" sheetId="2" state="visible" r:id="rId4"/>
  </sheets>
  <definedNames>
    <definedName function="false" hidden="true" localSheetId="0" name="_xlnm._FilterDatabase" vbProcedure="false">'Risk Register'!$A$1:$T$19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<sst xmlns="http://schemas.openxmlformats.org/spreadsheetml/2006/main" count="228" uniqueCount="168">
  <si>
    <t xml:space="preserve">Risk ID</t>
  </si>
  <si>
    <t xml:space="preserve">Asset</t>
  </si>
  <si>
    <t xml:space="preserve">Threat</t>
  </si>
  <si>
    <t xml:space="preserve">Vulnerability</t>
  </si>
  <si>
    <t xml:space="preserve">Likelihood</t>
  </si>
  <si>
    <t xml:space="preserve">Impact</t>
  </si>
  <si>
    <t xml:space="preserve">Risk Score</t>
  </si>
  <si>
    <t xml:space="preserve">Rating</t>
  </si>
  <si>
    <t xml:space="preserve">Risk Owner</t>
  </si>
  <si>
    <t xml:space="preserve">Existing Controls (simulated)</t>
  </si>
  <si>
    <t xml:space="preserve">Treatment Option</t>
  </si>
  <si>
    <t xml:space="preserve">Treatment Action</t>
  </si>
  <si>
    <t xml:space="preserve">Control Reference (Annex A)</t>
  </si>
  <si>
    <t xml:space="preserve">Target Date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</si>
  <si>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</si>
  <si>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</si>
  <si>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</si>
  <si>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</si>
  <si>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Status</t>
  </si>
  <si>
    <t xml:space="preserve">Risk Acceptance</t>
  </si>
  <si>
    <t xml:space="preserve">R-001</t>
  </si>
  <si>
    <t xml:space="preserve">Customer DB</t>
  </si>
  <si>
    <t xml:space="preserve">Data breach</t>
  </si>
  <si>
    <t xml:space="preserve">Excessive privileges</t>
  </si>
  <si>
    <t xml:space="preserve">CTO</t>
  </si>
  <si>
    <t xml:space="preserve">Role-based DB users; no periodic review</t>
  </si>
  <si>
    <t xml:space="preserve">Mitigate</t>
  </si>
  <si>
    <t xml:space="preserve">Conduct quarterly database access reviews; remove standing admin access</t>
  </si>
  <si>
    <t xml:space="preserve">A.5.15, A.5.18, A.8.2</t>
  </si>
  <si>
    <t xml:space="preserve">Open</t>
  </si>
  <si>
    <t xml:space="preserve">Not accepted - treat</t>
  </si>
  <si>
    <t xml:space="preserve">R-002</t>
  </si>
  <si>
    <t xml:space="preserve">AWS</t>
  </si>
  <si>
    <t xml:space="preserve">Cloud compromise</t>
  </si>
  <si>
    <t xml:space="preserve">Misconfigured IAM</t>
  </si>
  <si>
    <t xml:space="preserve">DevOps Lead</t>
  </si>
  <si>
    <t xml:space="preserve">IAM roles in use; no formal permission review</t>
  </si>
  <si>
    <t xml:space="preserve">Review AWS IAM permissions; enable IAM Access Analyzer</t>
  </si>
  <si>
    <t xml:space="preserve">A.5.23, A.8.2</t>
  </si>
  <si>
    <t xml:space="preserve">R-003</t>
  </si>
  <si>
    <t xml:space="preserve">GitHub</t>
  </si>
  <si>
    <t xml:space="preserve">Account takeover</t>
  </si>
  <si>
    <t xml:space="preserve">MFA not enforced</t>
  </si>
  <si>
    <t xml:space="preserve">Engineering Lead</t>
  </si>
  <si>
    <t xml:space="preserve">MFA available, not enforced for all</t>
  </si>
  <si>
    <t xml:space="preserve">Enforce MFA on GitHub org</t>
  </si>
  <si>
    <t xml:space="preserve">A.5.17, A.8.5</t>
  </si>
  <si>
    <t xml:space="preserve">In Progress</t>
  </si>
  <si>
    <t xml:space="preserve">R-004</t>
  </si>
  <si>
    <t xml:space="preserve">Laptops</t>
  </si>
  <si>
    <t xml:space="preserve">Malware</t>
  </si>
  <si>
    <t xml:space="preserve">Weak endpoint controls</t>
  </si>
  <si>
    <t xml:space="preserve">IT Manager</t>
  </si>
  <si>
    <t xml:space="preserve">Basic AV on some devices</t>
  </si>
  <si>
    <t xml:space="preserve">Deploy endpoint protection (EDR) on all laptops</t>
  </si>
  <si>
    <t xml:space="preserve">A.8.7, A.8.1</t>
  </si>
  <si>
    <t xml:space="preserve">R-005</t>
  </si>
  <si>
    <t xml:space="preserve">M365</t>
  </si>
  <si>
    <t xml:space="preserve">Phishing</t>
  </si>
  <si>
    <t xml:space="preserve">Limited awareness</t>
  </si>
  <si>
    <t xml:space="preserve">HR / Security Lead</t>
  </si>
  <si>
    <t xml:space="preserve">Spam filtering</t>
  </si>
  <si>
    <t xml:space="preserve">Conduct phishing simulation and security awareness training</t>
  </si>
  <si>
    <t xml:space="preserve">A.6.3, A.8.23</t>
  </si>
  <si>
    <t xml:space="preserve">R-006</t>
  </si>
  <si>
    <t xml:space="preserve">VPN</t>
  </si>
  <si>
    <t xml:space="preserve">Unauthorized access</t>
  </si>
  <si>
    <t xml:space="preserve">Weak authentication</t>
  </si>
  <si>
    <t xml:space="preserve">Password-only VPN login</t>
  </si>
  <si>
    <t xml:space="preserve">Enforce MFA on VPN</t>
  </si>
  <si>
    <t xml:space="preserve">A.5.15, A.8.5</t>
  </si>
  <si>
    <t xml:space="preserve">R-007</t>
  </si>
  <si>
    <t xml:space="preserve">Backup</t>
  </si>
  <si>
    <t xml:space="preserve">Data loss</t>
  </si>
  <si>
    <t xml:space="preserve">Inadequate backup testing</t>
  </si>
  <si>
    <t xml:space="preserve">Daily cloud backups; no restore tests</t>
  </si>
  <si>
    <t xml:space="preserve">Perform quarterly backup restoration test</t>
  </si>
  <si>
    <t xml:space="preserve">A.8.13</t>
  </si>
  <si>
    <t xml:space="preserve">R-008</t>
  </si>
  <si>
    <t xml:space="preserve">API Keys</t>
  </si>
  <si>
    <t xml:space="preserve">Credential exposure</t>
  </si>
  <si>
    <t xml:space="preserve">Poor secret management</t>
  </si>
  <si>
    <t xml:space="preserve">Some secrets in env files</t>
  </si>
  <si>
    <t xml:space="preserve">Move secrets to AWS Secrets Manager; enable GitHub secret scanning</t>
  </si>
  <si>
    <t xml:space="preserve">A.5.17, A.8.24</t>
  </si>
  <si>
    <t xml:space="preserve">R-009</t>
  </si>
  <si>
    <t xml:space="preserve">HR System</t>
  </si>
  <si>
    <t xml:space="preserve">Data disclosure</t>
  </si>
  <si>
    <t xml:space="preserve">Excessive access</t>
  </si>
  <si>
    <t xml:space="preserve">HR Manager</t>
  </si>
  <si>
    <t xml:space="preserve">Admin role limited to HR team (not reviewed)</t>
  </si>
  <si>
    <t xml:space="preserve">Review and restrict HRMS roles</t>
  </si>
  <si>
    <t xml:space="preserve">A.5.18</t>
  </si>
  <si>
    <t xml:space="preserve">R-010</t>
  </si>
  <si>
    <t xml:space="preserve">Customer Support</t>
  </si>
  <si>
    <t xml:space="preserve">Data leakage</t>
  </si>
  <si>
    <t xml:space="preserve">Improper data handling</t>
  </si>
  <si>
    <t xml:space="preserve">Support Lead</t>
  </si>
  <si>
    <t xml:space="preserve">Informal guidance to agents</t>
  </si>
  <si>
    <t xml:space="preserve">Define data-handling procedure; mask customer data in tickets</t>
  </si>
  <si>
    <t xml:space="preserve">A.5.34, A.8.11</t>
  </si>
  <si>
    <t xml:space="preserve">R-011</t>
  </si>
  <si>
    <t xml:space="preserve">Source Code</t>
  </si>
  <si>
    <t xml:space="preserve">Intellectual property theft</t>
  </si>
  <si>
    <t xml:space="preserve">Excessive repository access</t>
  </si>
  <si>
    <t xml:space="preserve">Team-level repo permissions</t>
  </si>
  <si>
    <t xml:space="preserve">Repository access review; branch protection; least privilege</t>
  </si>
  <si>
    <t xml:space="preserve">A.8.4, A.5.18</t>
  </si>
  <si>
    <t xml:space="preserve">R-012</t>
  </si>
  <si>
    <t xml:space="preserve">Service outage</t>
  </si>
  <si>
    <t xml:space="preserve">Single-region dependency</t>
  </si>
  <si>
    <t xml:space="preserve">Multi-AZ for database (assumed)</t>
  </si>
  <si>
    <t xml:space="preserve">Design and test multi-region / DR failover</t>
  </si>
  <si>
    <t xml:space="preserve">A.8.14, A.5.30</t>
  </si>
  <si>
    <t xml:space="preserve">R-013</t>
  </si>
  <si>
    <t xml:space="preserve">Security Logs</t>
  </si>
  <si>
    <t xml:space="preserve">Evidence loss</t>
  </si>
  <si>
    <t xml:space="preserve">Insufficient retention</t>
  </si>
  <si>
    <t xml:space="preserve">Security Lead</t>
  </si>
  <si>
    <t xml:space="preserve">Default log retention only</t>
  </si>
  <si>
    <t xml:space="preserve">Define 12-month retention; centralise logs in protected storage</t>
  </si>
  <si>
    <t xml:space="preserve">A.8.15, A.8.16</t>
  </si>
  <si>
    <t xml:space="preserve">R-014</t>
  </si>
  <si>
    <t xml:space="preserve">Employee Laptop</t>
  </si>
  <si>
    <t xml:space="preserve">Data theft</t>
  </si>
  <si>
    <t xml:space="preserve">Disk encryption gap</t>
  </si>
  <si>
    <t xml:space="preserve">Encryption on some devices</t>
  </si>
  <si>
    <t xml:space="preserve">Enforce full-disk encryption through device management</t>
  </si>
  <si>
    <t xml:space="preserve">A.8.1, A.8.24</t>
  </si>
  <si>
    <t xml:space="preserve">R-015</t>
  </si>
  <si>
    <t xml:space="preserve">Vendor</t>
  </si>
  <si>
    <t xml:space="preserve">Supply-chain compromise</t>
  </si>
  <si>
    <t xml:space="preserve">Weak vendor assessment</t>
  </si>
  <si>
    <t xml:space="preserve">Procurement</t>
  </si>
  <si>
    <t xml:space="preserve">Contracts reviewed ad hoc</t>
  </si>
  <si>
    <t xml:space="preserve">Implement vendor security assessment process</t>
  </si>
  <si>
    <t xml:space="preserve">A.5.19, A.5.20</t>
  </si>
  <si>
    <t xml:space="preserve">R-016</t>
  </si>
  <si>
    <t xml:space="preserve">Website</t>
  </si>
  <si>
    <t xml:space="preserve">Exploitation</t>
  </si>
  <si>
    <t xml:space="preserve">Unpatched components</t>
  </si>
  <si>
    <t xml:space="preserve">Manual updates</t>
  </si>
  <si>
    <t xml:space="preserve">Monthly patching and vulnerability scanning for website</t>
  </si>
  <si>
    <t xml:space="preserve">A.8.8</t>
  </si>
  <si>
    <t xml:space="preserve">R-017</t>
  </si>
  <si>
    <t xml:space="preserve">Payroll Data</t>
  </si>
  <si>
    <t xml:space="preserve">Unauthorized disclosure</t>
  </si>
  <si>
    <t xml:space="preserve">Weak access segregation</t>
  </si>
  <si>
    <t xml:space="preserve">Finance Manager</t>
  </si>
  <si>
    <t xml:space="preserve">Payroll accessible to finance team</t>
  </si>
  <si>
    <t xml:space="preserve">Restrict payroll access to named roles; log access</t>
  </si>
  <si>
    <t xml:space="preserve">A.5.15, A.8.3, A.5.3</t>
  </si>
  <si>
    <t xml:space="preserve">R-018</t>
  </si>
  <si>
    <t xml:space="preserve">Network</t>
  </si>
  <si>
    <t xml:space="preserve">Lateral movement</t>
  </si>
  <si>
    <t xml:space="preserve">Poor segmentation</t>
  </si>
  <si>
    <t xml:space="preserve">Single flat corporate network (assumed)</t>
  </si>
  <si>
    <t xml:space="preserve">Segment prod/corporate/dev; review security groups</t>
  </si>
  <si>
    <t xml:space="preserve">A.8.22, A.8.20</t>
  </si>
  <si>
    <t xml:space="preserve">Risk summary (live formulas from Risk Register)</t>
  </si>
  <si>
    <t xml:space="preserve">Inherent count</t>
  </si>
  <si>
    <t xml:space="preserve">Residual count</t>
  </si>
  <si>
    <t xml:space="preserve">Critical</t>
  </si>
  <si>
    <t xml:space="preserve">High</t>
  </si>
  <si>
    <t xml:space="preserve">Medium</t>
  </si>
  <si>
    <t xml:space="preserve">Low</t>
  </si>
  <si>
    <t xml:space="preserve">Total</t>
  </si>
  <si>
    <t xml:space="preserve">Assumptions: existing controls, owners, target dates and residual scores are simulated. Target dates = project start 08-Oct-2026 + treatment days. Residual risk is the expected score once treatment is complete.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</si>
</sst>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4B183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FFE699"/>
        </patternFill>
      </fill>
    </dxf>
    <dxf>
      <font>
        <name val="Arial"/>
        <charset val="1"/>
        <family val="0"/>
        <color rgb="FF000000"/>
        <sz val="10"/>
      </font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7" min="6" style="0" width="9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32"/>
    <col collapsed="false" customWidth="true" hidden="false" outlineLevel="0" max="11" min="11" style="0" width="12"/>
    <col collapsed="false" customWidth="true" hidden="false" outlineLevel="0" max="12" min="12" style="0" width="44"/>
    <col collapsed="false" customWidth="true" hidden="false" outlineLevel="0" max="13" min="13" style="0" width="22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7" min="16" style="0" width="10"/>
    <col collapsed="false" customWidth="true" hidden="false" outlineLevel="0" max="18" min="18" style="0" width="11"/>
    <col collapsed="false" customWidth="true" hidden="false" outlineLevel="0" max="19" min="19" style="0" width="13"/>
    <col collapsed="false" customWidth="true" hidden="false" outlineLevel="0" max="20" min="20" style="0" width="2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23.8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n">
        <v>4</v>
      </c>
      <c r="F2" s="2" t="n">
        <v>5</v>
      </c>
      <c r="G2" s="2" t="n">
        <f aca="false">E2*F2</f>
        <v>20</v>
      </c>
      <c r="H2" s="2" t="str">
        <f aca="false">IF(G2&gt;=17,"Critical",IF(G2&gt;=10,"High",IF(G2&gt;=5,"Medium","Low")))</f>
        <v>Critical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3" t="n">
        <v>46333</v>
      </c>
      <c r="O2" s="2" t="n">
        <v>2</v>
      </c>
      <c r="P2" s="2" t="n">
        <v>4</v>
      </c>
      <c r="Q2" s="2" t="n">
        <f aca="false">O2*P2</f>
        <v>8</v>
      </c>
      <c r="R2" s="2" t="str">
        <f aca="false">IF(Q2&gt;=17,"Critical",IF(Q2&gt;=10,"High",IF(Q2&gt;=5,"Medium","Low")))</f>
        <v>Medium</v>
      </c>
      <c r="S2" s="2" t="s">
        <v>29</v>
      </c>
      <c r="T2" s="2" t="s">
        <v>30</v>
      </c>
    </row>
    <row r="3" customFormat="false" ht="23.85" hidden="false" customHeight="false" outlineLevel="0" collapsed="false">
      <c r="A3" s="2" t="s">
        <v>31</v>
      </c>
      <c r="B3" s="2" t="s">
        <v>32</v>
      </c>
      <c r="C3" s="2" t="s">
        <v>33</v>
      </c>
      <c r="D3" s="2" t="s">
        <v>34</v>
      </c>
      <c r="E3" s="2" t="n">
        <v>3</v>
      </c>
      <c r="F3" s="2" t="n">
        <v>5</v>
      </c>
      <c r="G3" s="2" t="n">
        <f aca="false">E3*F3</f>
        <v>15</v>
      </c>
      <c r="H3" s="2" t="str">
        <f aca="false">IF(G3&gt;=17,"Critical",IF(G3&gt;=10,"High",IF(G3&gt;=5,"Medium","Low")))</f>
        <v>High</v>
      </c>
      <c r="I3" s="2" t="s">
        <v>35</v>
      </c>
      <c r="J3" s="2" t="s">
        <v>36</v>
      </c>
      <c r="K3" s="2" t="s">
        <v>26</v>
      </c>
      <c r="L3" s="2" t="s">
        <v>37</v>
      </c>
      <c r="M3" s="2" t="s">
        <v>38</v>
      </c>
      <c r="N3" s="3" t="n">
        <v>46333</v>
      </c>
      <c r="O3" s="2" t="n">
        <v>2</v>
      </c>
      <c r="P3" s="2" t="n">
        <v>4</v>
      </c>
      <c r="Q3" s="2" t="n">
        <f aca="false">O3*P3</f>
        <v>8</v>
      </c>
      <c r="R3" s="2" t="str">
        <f aca="false">IF(Q3&gt;=17,"Critical",IF(Q3&gt;=10,"High",IF(Q3&gt;=5,"Medium","Low")))</f>
        <v>Medium</v>
      </c>
      <c r="S3" s="2" t="s">
        <v>29</v>
      </c>
      <c r="T3" s="2" t="s">
        <v>30</v>
      </c>
    </row>
    <row r="4" customFormat="false" ht="15" hidden="false" customHeight="false" outlineLevel="0" collapsed="false">
      <c r="A4" s="2" t="s">
        <v>39</v>
      </c>
      <c r="B4" s="2" t="s">
        <v>40</v>
      </c>
      <c r="C4" s="2" t="s">
        <v>41</v>
      </c>
      <c r="D4" s="2" t="s">
        <v>42</v>
      </c>
      <c r="E4" s="2" t="n">
        <v>3</v>
      </c>
      <c r="F4" s="2" t="n">
        <v>5</v>
      </c>
      <c r="G4" s="2" t="n">
        <f aca="false">E4*F4</f>
        <v>15</v>
      </c>
      <c r="H4" s="2" t="str">
        <f aca="false">IF(G4&gt;=17,"Critical",IF(G4&gt;=10,"High",IF(G4&gt;=5,"Medium","Low")))</f>
        <v>High</v>
      </c>
      <c r="I4" s="2" t="s">
        <v>43</v>
      </c>
      <c r="J4" s="2" t="s">
        <v>44</v>
      </c>
      <c r="K4" s="2" t="s">
        <v>26</v>
      </c>
      <c r="L4" s="2" t="s">
        <v>45</v>
      </c>
      <c r="M4" s="2" t="s">
        <v>46</v>
      </c>
      <c r="N4" s="3" t="n">
        <v>46318</v>
      </c>
      <c r="O4" s="2" t="n">
        <v>1</v>
      </c>
      <c r="P4" s="2" t="n">
        <v>5</v>
      </c>
      <c r="Q4" s="2" t="n">
        <f aca="false">O4*P4</f>
        <v>5</v>
      </c>
      <c r="R4" s="2" t="str">
        <f aca="false">IF(Q4&gt;=17,"Critical",IF(Q4&gt;=10,"High",IF(Q4&gt;=5,"Medium","Low")))</f>
        <v>Medium</v>
      </c>
      <c r="S4" s="2" t="s">
        <v>47</v>
      </c>
      <c r="T4" s="2" t="s">
        <v>30</v>
      </c>
    </row>
    <row r="5" customFormat="false" ht="15" hidden="false" customHeight="false" outlineLevel="0" collapsed="false">
      <c r="A5" s="2" t="s">
        <v>48</v>
      </c>
      <c r="B5" s="2" t="s">
        <v>49</v>
      </c>
      <c r="C5" s="2" t="s">
        <v>50</v>
      </c>
      <c r="D5" s="2" t="s">
        <v>51</v>
      </c>
      <c r="E5" s="2" t="n">
        <v>4</v>
      </c>
      <c r="F5" s="2" t="n">
        <v>4</v>
      </c>
      <c r="G5" s="2" t="n">
        <f aca="false">E5*F5</f>
        <v>16</v>
      </c>
      <c r="H5" s="2" t="str">
        <f aca="false">IF(G5&gt;=17,"Critical",IF(G5&gt;=10,"High",IF(G5&gt;=5,"Medium","Low")))</f>
        <v>High</v>
      </c>
      <c r="I5" s="2" t="s">
        <v>52</v>
      </c>
      <c r="J5" s="2" t="s">
        <v>53</v>
      </c>
      <c r="K5" s="2" t="s">
        <v>26</v>
      </c>
      <c r="L5" s="2" t="s">
        <v>54</v>
      </c>
      <c r="M5" s="2" t="s">
        <v>55</v>
      </c>
      <c r="N5" s="3" t="n">
        <v>46348</v>
      </c>
      <c r="O5" s="2" t="n">
        <v>2</v>
      </c>
      <c r="P5" s="2" t="n">
        <v>3</v>
      </c>
      <c r="Q5" s="2" t="n">
        <f aca="false">O5*P5</f>
        <v>6</v>
      </c>
      <c r="R5" s="2" t="str">
        <f aca="false">IF(Q5&gt;=17,"Critical",IF(Q5&gt;=10,"High",IF(Q5&gt;=5,"Medium","Low")))</f>
        <v>Medium</v>
      </c>
      <c r="S5" s="2" t="s">
        <v>47</v>
      </c>
      <c r="T5" s="2" t="s">
        <v>30</v>
      </c>
    </row>
    <row r="6" customFormat="false" ht="23.85" hidden="false" customHeight="false" outlineLevel="0" collapsed="false">
      <c r="A6" s="2" t="s">
        <v>56</v>
      </c>
      <c r="B6" s="2" t="s">
        <v>57</v>
      </c>
      <c r="C6" s="2" t="s">
        <v>58</v>
      </c>
      <c r="D6" s="2" t="s">
        <v>59</v>
      </c>
      <c r="E6" s="2" t="n">
        <v>4</v>
      </c>
      <c r="F6" s="2" t="n">
        <v>4</v>
      </c>
      <c r="G6" s="2" t="n">
        <f aca="false">E6*F6</f>
        <v>16</v>
      </c>
      <c r="H6" s="2" t="str">
        <f aca="false">IF(G6&gt;=17,"Critical",IF(G6&gt;=10,"High",IF(G6&gt;=5,"Medium","Low")))</f>
        <v>High</v>
      </c>
      <c r="I6" s="2" t="s">
        <v>60</v>
      </c>
      <c r="J6" s="2" t="s">
        <v>61</v>
      </c>
      <c r="K6" s="2" t="s">
        <v>26</v>
      </c>
      <c r="L6" s="2" t="s">
        <v>62</v>
      </c>
      <c r="M6" s="2" t="s">
        <v>63</v>
      </c>
      <c r="N6" s="3" t="n">
        <v>46333</v>
      </c>
      <c r="O6" s="2" t="n">
        <v>3</v>
      </c>
      <c r="P6" s="2" t="n">
        <v>3</v>
      </c>
      <c r="Q6" s="2" t="n">
        <f aca="false">O6*P6</f>
        <v>9</v>
      </c>
      <c r="R6" s="2" t="str">
        <f aca="false">IF(Q6&gt;=17,"Critical",IF(Q6&gt;=10,"High",IF(Q6&gt;=5,"Medium","Low")))</f>
        <v>Medium</v>
      </c>
      <c r="S6" s="2" t="s">
        <v>29</v>
      </c>
      <c r="T6" s="2" t="s">
        <v>30</v>
      </c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66</v>
      </c>
      <c r="D7" s="2" t="s">
        <v>67</v>
      </c>
      <c r="E7" s="2" t="n">
        <v>3</v>
      </c>
      <c r="F7" s="2" t="n">
        <v>5</v>
      </c>
      <c r="G7" s="2" t="n">
        <f aca="false">E7*F7</f>
        <v>15</v>
      </c>
      <c r="H7" s="2" t="str">
        <f aca="false">IF(G7&gt;=17,"Critical",IF(G7&gt;=10,"High",IF(G7&gt;=5,"Medium","Low")))</f>
        <v>High</v>
      </c>
      <c r="I7" s="2" t="s">
        <v>52</v>
      </c>
      <c r="J7" s="2" t="s">
        <v>68</v>
      </c>
      <c r="K7" s="2" t="s">
        <v>26</v>
      </c>
      <c r="L7" s="2" t="s">
        <v>69</v>
      </c>
      <c r="M7" s="2" t="s">
        <v>70</v>
      </c>
      <c r="N7" s="3" t="n">
        <v>46333</v>
      </c>
      <c r="O7" s="2" t="n">
        <v>2</v>
      </c>
      <c r="P7" s="2" t="n">
        <v>4</v>
      </c>
      <c r="Q7" s="2" t="n">
        <f aca="false">O7*P7</f>
        <v>8</v>
      </c>
      <c r="R7" s="2" t="str">
        <f aca="false">IF(Q7&gt;=17,"Critical",IF(Q7&gt;=10,"High",IF(Q7&gt;=5,"Medium","Low")))</f>
        <v>Medium</v>
      </c>
      <c r="S7" s="2" t="s">
        <v>29</v>
      </c>
      <c r="T7" s="2" t="s">
        <v>30</v>
      </c>
    </row>
    <row r="8" customFormat="false" ht="15" hidden="false" customHeight="false" outlineLevel="0" collapsed="false">
      <c r="A8" s="2" t="s">
        <v>71</v>
      </c>
      <c r="B8" s="2" t="s">
        <v>72</v>
      </c>
      <c r="C8" s="2" t="s">
        <v>73</v>
      </c>
      <c r="D8" s="2" t="s">
        <v>74</v>
      </c>
      <c r="E8" s="2" t="n">
        <v>3</v>
      </c>
      <c r="F8" s="2" t="n">
        <v>5</v>
      </c>
      <c r="G8" s="2" t="n">
        <f aca="false">E8*F8</f>
        <v>15</v>
      </c>
      <c r="H8" s="2" t="str">
        <f aca="false">IF(G8&gt;=17,"Critical",IF(G8&gt;=10,"High",IF(G8&gt;=5,"Medium","Low")))</f>
        <v>High</v>
      </c>
      <c r="I8" s="2" t="s">
        <v>35</v>
      </c>
      <c r="J8" s="2" t="s">
        <v>75</v>
      </c>
      <c r="K8" s="2" t="s">
        <v>26</v>
      </c>
      <c r="L8" s="2" t="s">
        <v>76</v>
      </c>
      <c r="M8" s="2" t="s">
        <v>77</v>
      </c>
      <c r="N8" s="3" t="n">
        <v>46333</v>
      </c>
      <c r="O8" s="2" t="n">
        <v>2</v>
      </c>
      <c r="P8" s="2" t="n">
        <v>4</v>
      </c>
      <c r="Q8" s="2" t="n">
        <f aca="false">O8*P8</f>
        <v>8</v>
      </c>
      <c r="R8" s="2" t="str">
        <f aca="false">IF(Q8&gt;=17,"Critical",IF(Q8&gt;=10,"High",IF(Q8&gt;=5,"Medium","Low")))</f>
        <v>Medium</v>
      </c>
      <c r="S8" s="2" t="s">
        <v>29</v>
      </c>
      <c r="T8" s="2" t="s">
        <v>30</v>
      </c>
    </row>
    <row r="9" customFormat="false" ht="23.85" hidden="false" customHeight="false" outlineLevel="0" collapsed="false">
      <c r="A9" s="2" t="s">
        <v>78</v>
      </c>
      <c r="B9" s="2" t="s">
        <v>79</v>
      </c>
      <c r="C9" s="2" t="s">
        <v>80</v>
      </c>
      <c r="D9" s="2" t="s">
        <v>81</v>
      </c>
      <c r="E9" s="2" t="n">
        <v>3</v>
      </c>
      <c r="F9" s="2" t="n">
        <v>5</v>
      </c>
      <c r="G9" s="2" t="n">
        <f aca="false">E9*F9</f>
        <v>15</v>
      </c>
      <c r="H9" s="2" t="str">
        <f aca="false">IF(G9&gt;=17,"Critical",IF(G9&gt;=10,"High",IF(G9&gt;=5,"Medium","Low")))</f>
        <v>High</v>
      </c>
      <c r="I9" s="2" t="s">
        <v>35</v>
      </c>
      <c r="J9" s="2" t="s">
        <v>82</v>
      </c>
      <c r="K9" s="2" t="s">
        <v>26</v>
      </c>
      <c r="L9" s="2" t="s">
        <v>83</v>
      </c>
      <c r="M9" s="2" t="s">
        <v>84</v>
      </c>
      <c r="N9" s="3" t="n">
        <v>46348</v>
      </c>
      <c r="O9" s="2" t="n">
        <v>2</v>
      </c>
      <c r="P9" s="2" t="n">
        <v>4</v>
      </c>
      <c r="Q9" s="2" t="n">
        <f aca="false">O9*P9</f>
        <v>8</v>
      </c>
      <c r="R9" s="2" t="str">
        <f aca="false">IF(Q9&gt;=17,"Critical",IF(Q9&gt;=10,"High",IF(Q9&gt;=5,"Medium","Low")))</f>
        <v>Medium</v>
      </c>
      <c r="S9" s="2" t="s">
        <v>29</v>
      </c>
      <c r="T9" s="2" t="s">
        <v>30</v>
      </c>
    </row>
    <row r="10" customFormat="false" ht="23.85" hidden="false" customHeight="false" outlineLevel="0" collapsed="false">
      <c r="A10" s="2" t="s">
        <v>85</v>
      </c>
      <c r="B10" s="2" t="s">
        <v>86</v>
      </c>
      <c r="C10" s="2" t="s">
        <v>87</v>
      </c>
      <c r="D10" s="2" t="s">
        <v>88</v>
      </c>
      <c r="E10" s="2" t="n">
        <v>3</v>
      </c>
      <c r="F10" s="2" t="n">
        <v>4</v>
      </c>
      <c r="G10" s="2" t="n">
        <f aca="false">E10*F10</f>
        <v>12</v>
      </c>
      <c r="H10" s="2" t="str">
        <f aca="false">IF(G10&gt;=17,"Critical",IF(G10&gt;=10,"High",IF(G10&gt;=5,"Medium","Low")))</f>
        <v>High</v>
      </c>
      <c r="I10" s="2" t="s">
        <v>89</v>
      </c>
      <c r="J10" s="2" t="s">
        <v>90</v>
      </c>
      <c r="K10" s="2" t="s">
        <v>26</v>
      </c>
      <c r="L10" s="2" t="s">
        <v>91</v>
      </c>
      <c r="M10" s="2" t="s">
        <v>92</v>
      </c>
      <c r="N10" s="3" t="n">
        <v>46333</v>
      </c>
      <c r="O10" s="2" t="n">
        <v>2</v>
      </c>
      <c r="P10" s="2" t="n">
        <v>3</v>
      </c>
      <c r="Q10" s="2" t="n">
        <f aca="false">O10*P10</f>
        <v>6</v>
      </c>
      <c r="R10" s="2" t="str">
        <f aca="false">IF(Q10&gt;=17,"Critical",IF(Q10&gt;=10,"High",IF(Q10&gt;=5,"Medium","Low")))</f>
        <v>Medium</v>
      </c>
      <c r="S10" s="2" t="s">
        <v>29</v>
      </c>
      <c r="T10" s="2" t="s">
        <v>30</v>
      </c>
    </row>
    <row r="11" customFormat="false" ht="23.85" hidden="false" customHeight="false" outlineLevel="0" collapsed="false">
      <c r="A11" s="2" t="s">
        <v>93</v>
      </c>
      <c r="B11" s="2" t="s">
        <v>94</v>
      </c>
      <c r="C11" s="2" t="s">
        <v>95</v>
      </c>
      <c r="D11" s="2" t="s">
        <v>96</v>
      </c>
      <c r="E11" s="2" t="n">
        <v>3</v>
      </c>
      <c r="F11" s="2" t="n">
        <v>4</v>
      </c>
      <c r="G11" s="2" t="n">
        <f aca="false">E11*F11</f>
        <v>12</v>
      </c>
      <c r="H11" s="2" t="str">
        <f aca="false">IF(G11&gt;=17,"Critical",IF(G11&gt;=10,"High",IF(G11&gt;=5,"Medium","Low")))</f>
        <v>High</v>
      </c>
      <c r="I11" s="2" t="s">
        <v>97</v>
      </c>
      <c r="J11" s="2" t="s">
        <v>98</v>
      </c>
      <c r="K11" s="2" t="s">
        <v>26</v>
      </c>
      <c r="L11" s="2" t="s">
        <v>99</v>
      </c>
      <c r="M11" s="2" t="s">
        <v>100</v>
      </c>
      <c r="N11" s="3" t="n">
        <v>46348</v>
      </c>
      <c r="O11" s="2" t="n">
        <v>2</v>
      </c>
      <c r="P11" s="2" t="n">
        <v>3</v>
      </c>
      <c r="Q11" s="2" t="n">
        <f aca="false">O11*P11</f>
        <v>6</v>
      </c>
      <c r="R11" s="2" t="str">
        <f aca="false">IF(Q11&gt;=17,"Critical",IF(Q11&gt;=10,"High",IF(Q11&gt;=5,"Medium","Low")))</f>
        <v>Medium</v>
      </c>
      <c r="S11" s="2" t="s">
        <v>29</v>
      </c>
      <c r="T11" s="2" t="s">
        <v>30</v>
      </c>
    </row>
    <row r="12" customFormat="false" ht="23.85" hidden="false" customHeight="false" outlineLevel="0" collapsed="false">
      <c r="A12" s="2" t="s">
        <v>101</v>
      </c>
      <c r="B12" s="2" t="s">
        <v>102</v>
      </c>
      <c r="C12" s="2" t="s">
        <v>103</v>
      </c>
      <c r="D12" s="2" t="s">
        <v>104</v>
      </c>
      <c r="E12" s="2" t="n">
        <v>3</v>
      </c>
      <c r="F12" s="2" t="n">
        <v>4</v>
      </c>
      <c r="G12" s="2" t="n">
        <f aca="false">E12*F12</f>
        <v>12</v>
      </c>
      <c r="H12" s="2" t="str">
        <f aca="false">IF(G12&gt;=17,"Critical",IF(G12&gt;=10,"High",IF(G12&gt;=5,"Medium","Low")))</f>
        <v>High</v>
      </c>
      <c r="I12" s="2" t="s">
        <v>43</v>
      </c>
      <c r="J12" s="2" t="s">
        <v>105</v>
      </c>
      <c r="K12" s="2" t="s">
        <v>26</v>
      </c>
      <c r="L12" s="2" t="s">
        <v>106</v>
      </c>
      <c r="M12" s="2" t="s">
        <v>107</v>
      </c>
      <c r="N12" s="3" t="n">
        <v>46333</v>
      </c>
      <c r="O12" s="2" t="n">
        <v>2</v>
      </c>
      <c r="P12" s="2" t="n">
        <v>3</v>
      </c>
      <c r="Q12" s="2" t="n">
        <f aca="false">O12*P12</f>
        <v>6</v>
      </c>
      <c r="R12" s="2" t="str">
        <f aca="false">IF(Q12&gt;=17,"Critical",IF(Q12&gt;=10,"High",IF(Q12&gt;=5,"Medium","Low")))</f>
        <v>Medium</v>
      </c>
      <c r="S12" s="2" t="s">
        <v>29</v>
      </c>
      <c r="T12" s="2" t="s">
        <v>30</v>
      </c>
    </row>
    <row r="13" customFormat="false" ht="15" hidden="false" customHeight="false" outlineLevel="0" collapsed="false">
      <c r="A13" s="2" t="s">
        <v>108</v>
      </c>
      <c r="B13" s="2" t="s">
        <v>32</v>
      </c>
      <c r="C13" s="2" t="s">
        <v>109</v>
      </c>
      <c r="D13" s="2" t="s">
        <v>110</v>
      </c>
      <c r="E13" s="2" t="n">
        <v>3</v>
      </c>
      <c r="F13" s="2" t="n">
        <v>5</v>
      </c>
      <c r="G13" s="2" t="n">
        <f aca="false">E13*F13</f>
        <v>15</v>
      </c>
      <c r="H13" s="2" t="str">
        <f aca="false">IF(G13&gt;=17,"Critical",IF(G13&gt;=10,"High",IF(G13&gt;=5,"Medium","Low")))</f>
        <v>High</v>
      </c>
      <c r="I13" s="2" t="s">
        <v>35</v>
      </c>
      <c r="J13" s="2" t="s">
        <v>111</v>
      </c>
      <c r="K13" s="2" t="s">
        <v>26</v>
      </c>
      <c r="L13" s="2" t="s">
        <v>112</v>
      </c>
      <c r="M13" s="2" t="s">
        <v>113</v>
      </c>
      <c r="N13" s="3" t="n">
        <v>46393</v>
      </c>
      <c r="O13" s="2" t="n">
        <v>2</v>
      </c>
      <c r="P13" s="2" t="n">
        <v>4</v>
      </c>
      <c r="Q13" s="2" t="n">
        <f aca="false">O13*P13</f>
        <v>8</v>
      </c>
      <c r="R13" s="2" t="str">
        <f aca="false">IF(Q13&gt;=17,"Critical",IF(Q13&gt;=10,"High",IF(Q13&gt;=5,"Medium","Low")))</f>
        <v>Medium</v>
      </c>
      <c r="S13" s="2" t="s">
        <v>29</v>
      </c>
      <c r="T13" s="2" t="s">
        <v>30</v>
      </c>
    </row>
    <row r="14" customFormat="false" ht="23.85" hidden="false" customHeight="false" outlineLevel="0" collapsed="false">
      <c r="A14" s="2" t="s">
        <v>114</v>
      </c>
      <c r="B14" s="2" t="s">
        <v>115</v>
      </c>
      <c r="C14" s="2" t="s">
        <v>116</v>
      </c>
      <c r="D14" s="2" t="s">
        <v>117</v>
      </c>
      <c r="E14" s="2" t="n">
        <v>3</v>
      </c>
      <c r="F14" s="2" t="n">
        <v>4</v>
      </c>
      <c r="G14" s="2" t="n">
        <f aca="false">E14*F14</f>
        <v>12</v>
      </c>
      <c r="H14" s="2" t="str">
        <f aca="false">IF(G14&gt;=17,"Critical",IF(G14&gt;=10,"High",IF(G14&gt;=5,"Medium","Low")))</f>
        <v>High</v>
      </c>
      <c r="I14" s="2" t="s">
        <v>118</v>
      </c>
      <c r="J14" s="2" t="s">
        <v>119</v>
      </c>
      <c r="K14" s="2" t="s">
        <v>26</v>
      </c>
      <c r="L14" s="2" t="s">
        <v>120</v>
      </c>
      <c r="M14" s="2" t="s">
        <v>121</v>
      </c>
      <c r="N14" s="3" t="n">
        <v>46348</v>
      </c>
      <c r="O14" s="2" t="n">
        <v>2</v>
      </c>
      <c r="P14" s="2" t="n">
        <v>3</v>
      </c>
      <c r="Q14" s="2" t="n">
        <f aca="false">O14*P14</f>
        <v>6</v>
      </c>
      <c r="R14" s="2" t="str">
        <f aca="false">IF(Q14&gt;=17,"Critical",IF(Q14&gt;=10,"High",IF(Q14&gt;=5,"Medium","Low")))</f>
        <v>Medium</v>
      </c>
      <c r="S14" s="2" t="s">
        <v>29</v>
      </c>
      <c r="T14" s="2" t="s">
        <v>30</v>
      </c>
    </row>
    <row r="15" customFormat="false" ht="23.85" hidden="false" customHeight="false" outlineLevel="0" collapsed="false">
      <c r="A15" s="2" t="s">
        <v>122</v>
      </c>
      <c r="B15" s="2" t="s">
        <v>123</v>
      </c>
      <c r="C15" s="2" t="s">
        <v>124</v>
      </c>
      <c r="D15" s="2" t="s">
        <v>125</v>
      </c>
      <c r="E15" s="2" t="n">
        <v>3</v>
      </c>
      <c r="F15" s="2" t="n">
        <v>4</v>
      </c>
      <c r="G15" s="2" t="n">
        <f aca="false">E15*F15</f>
        <v>12</v>
      </c>
      <c r="H15" s="2" t="str">
        <f aca="false">IF(G15&gt;=17,"Critical",IF(G15&gt;=10,"High",IF(G15&gt;=5,"Medium","Low")))</f>
        <v>High</v>
      </c>
      <c r="I15" s="2" t="s">
        <v>52</v>
      </c>
      <c r="J15" s="2" t="s">
        <v>126</v>
      </c>
      <c r="K15" s="2" t="s">
        <v>26</v>
      </c>
      <c r="L15" s="2" t="s">
        <v>127</v>
      </c>
      <c r="M15" s="2" t="s">
        <v>128</v>
      </c>
      <c r="N15" s="3" t="n">
        <v>46333</v>
      </c>
      <c r="O15" s="2" t="n">
        <v>1</v>
      </c>
      <c r="P15" s="2" t="n">
        <v>4</v>
      </c>
      <c r="Q15" s="2" t="n">
        <f aca="false">O15*P15</f>
        <v>4</v>
      </c>
      <c r="R15" s="2" t="str">
        <f aca="false">IF(Q15&gt;=17,"Critical",IF(Q15&gt;=10,"High",IF(Q15&gt;=5,"Medium","Low")))</f>
        <v>Low</v>
      </c>
      <c r="S15" s="2" t="s">
        <v>29</v>
      </c>
      <c r="T15" s="2" t="s">
        <v>30</v>
      </c>
    </row>
    <row r="16" customFormat="false" ht="15" hidden="false" customHeight="false" outlineLevel="0" collapsed="false">
      <c r="A16" s="2" t="s">
        <v>129</v>
      </c>
      <c r="B16" s="2" t="s">
        <v>130</v>
      </c>
      <c r="C16" s="2" t="s">
        <v>131</v>
      </c>
      <c r="D16" s="2" t="s">
        <v>132</v>
      </c>
      <c r="E16" s="2" t="n">
        <v>3</v>
      </c>
      <c r="F16" s="2" t="n">
        <v>5</v>
      </c>
      <c r="G16" s="2" t="n">
        <f aca="false">E16*F16</f>
        <v>15</v>
      </c>
      <c r="H16" s="2" t="str">
        <f aca="false">IF(G16&gt;=17,"Critical",IF(G16&gt;=10,"High",IF(G16&gt;=5,"Medium","Low")))</f>
        <v>High</v>
      </c>
      <c r="I16" s="2" t="s">
        <v>133</v>
      </c>
      <c r="J16" s="2" t="s">
        <v>134</v>
      </c>
      <c r="K16" s="2" t="s">
        <v>26</v>
      </c>
      <c r="L16" s="2" t="s">
        <v>135</v>
      </c>
      <c r="M16" s="2" t="s">
        <v>136</v>
      </c>
      <c r="N16" s="3" t="n">
        <v>46363</v>
      </c>
      <c r="O16" s="2" t="n">
        <v>2</v>
      </c>
      <c r="P16" s="2" t="n">
        <v>4</v>
      </c>
      <c r="Q16" s="2" t="n">
        <f aca="false">O16*P16</f>
        <v>8</v>
      </c>
      <c r="R16" s="2" t="str">
        <f aca="false">IF(Q16&gt;=17,"Critical",IF(Q16&gt;=10,"High",IF(Q16&gt;=5,"Medium","Low")))</f>
        <v>Medium</v>
      </c>
      <c r="S16" s="2" t="s">
        <v>29</v>
      </c>
      <c r="T16" s="2" t="s">
        <v>30</v>
      </c>
    </row>
    <row r="17" customFormat="false" ht="23.85" hidden="false" customHeight="false" outlineLevel="0" collapsed="false">
      <c r="A17" s="2" t="s">
        <v>137</v>
      </c>
      <c r="B17" s="2" t="s">
        <v>138</v>
      </c>
      <c r="C17" s="2" t="s">
        <v>139</v>
      </c>
      <c r="D17" s="2" t="s">
        <v>140</v>
      </c>
      <c r="E17" s="2" t="n">
        <v>3</v>
      </c>
      <c r="F17" s="2" t="n">
        <v>4</v>
      </c>
      <c r="G17" s="2" t="n">
        <f aca="false">E17*F17</f>
        <v>12</v>
      </c>
      <c r="H17" s="2" t="str">
        <f aca="false">IF(G17&gt;=17,"Critical",IF(G17&gt;=10,"High",IF(G17&gt;=5,"Medium","Low")))</f>
        <v>High</v>
      </c>
      <c r="I17" s="2" t="s">
        <v>52</v>
      </c>
      <c r="J17" s="2" t="s">
        <v>141</v>
      </c>
      <c r="K17" s="2" t="s">
        <v>26</v>
      </c>
      <c r="L17" s="2" t="s">
        <v>142</v>
      </c>
      <c r="M17" s="2" t="s">
        <v>143</v>
      </c>
      <c r="N17" s="3" t="n">
        <v>46333</v>
      </c>
      <c r="O17" s="2" t="n">
        <v>2</v>
      </c>
      <c r="P17" s="2" t="n">
        <v>3</v>
      </c>
      <c r="Q17" s="2" t="n">
        <f aca="false">O17*P17</f>
        <v>6</v>
      </c>
      <c r="R17" s="2" t="str">
        <f aca="false">IF(Q17&gt;=17,"Critical",IF(Q17&gt;=10,"High",IF(Q17&gt;=5,"Medium","Low")))</f>
        <v>Medium</v>
      </c>
      <c r="S17" s="2" t="s">
        <v>29</v>
      </c>
      <c r="T17" s="2" t="s">
        <v>30</v>
      </c>
    </row>
    <row r="18" customFormat="false" ht="15" hidden="false" customHeight="false" outlineLevel="0" collapsed="false">
      <c r="A18" s="2" t="s">
        <v>144</v>
      </c>
      <c r="B18" s="2" t="s">
        <v>145</v>
      </c>
      <c r="C18" s="2" t="s">
        <v>146</v>
      </c>
      <c r="D18" s="2" t="s">
        <v>147</v>
      </c>
      <c r="E18" s="2" t="n">
        <v>2</v>
      </c>
      <c r="F18" s="2" t="n">
        <v>5</v>
      </c>
      <c r="G18" s="2" t="n">
        <f aca="false">E18*F18</f>
        <v>10</v>
      </c>
      <c r="H18" s="2" t="str">
        <f aca="false">IF(G18&gt;=17,"Critical",IF(G18&gt;=10,"High",IF(G18&gt;=5,"Medium","Low")))</f>
        <v>High</v>
      </c>
      <c r="I18" s="2" t="s">
        <v>148</v>
      </c>
      <c r="J18" s="2" t="s">
        <v>149</v>
      </c>
      <c r="K18" s="2" t="s">
        <v>26</v>
      </c>
      <c r="L18" s="2" t="s">
        <v>150</v>
      </c>
      <c r="M18" s="2" t="s">
        <v>151</v>
      </c>
      <c r="N18" s="3" t="n">
        <v>46333</v>
      </c>
      <c r="O18" s="2" t="n">
        <v>1</v>
      </c>
      <c r="P18" s="2" t="n">
        <v>5</v>
      </c>
      <c r="Q18" s="2" t="n">
        <f aca="false">O18*P18</f>
        <v>5</v>
      </c>
      <c r="R18" s="2" t="str">
        <f aca="false">IF(Q18&gt;=17,"Critical",IF(Q18&gt;=10,"High",IF(Q18&gt;=5,"Medium","Low")))</f>
        <v>Medium</v>
      </c>
      <c r="S18" s="2" t="s">
        <v>29</v>
      </c>
      <c r="T18" s="2" t="s">
        <v>30</v>
      </c>
    </row>
    <row r="19" customFormat="false" ht="23.85" hidden="false" customHeight="false" outlineLevel="0" collapsed="false">
      <c r="A19" s="2" t="s">
        <v>152</v>
      </c>
      <c r="B19" s="2" t="s">
        <v>153</v>
      </c>
      <c r="C19" s="2" t="s">
        <v>154</v>
      </c>
      <c r="D19" s="2" t="s">
        <v>155</v>
      </c>
      <c r="E19" s="2" t="n">
        <v>3</v>
      </c>
      <c r="F19" s="2" t="n">
        <v>4</v>
      </c>
      <c r="G19" s="2" t="n">
        <f aca="false">E19*F19</f>
        <v>12</v>
      </c>
      <c r="H19" s="2" t="str">
        <f aca="false">IF(G19&gt;=17,"Critical",IF(G19&gt;=10,"High",IF(G19&gt;=5,"Medium","Low")))</f>
        <v>High</v>
      </c>
      <c r="I19" s="2" t="s">
        <v>35</v>
      </c>
      <c r="J19" s="2" t="s">
        <v>156</v>
      </c>
      <c r="K19" s="2" t="s">
        <v>26</v>
      </c>
      <c r="L19" s="2" t="s">
        <v>157</v>
      </c>
      <c r="M19" s="2" t="s">
        <v>158</v>
      </c>
      <c r="N19" s="3" t="n">
        <v>46363</v>
      </c>
      <c r="O19" s="2" t="n">
        <v>2</v>
      </c>
      <c r="P19" s="2" t="n">
        <v>3</v>
      </c>
      <c r="Q19" s="2" t="n">
        <f aca="false">O19*P19</f>
        <v>6</v>
      </c>
      <c r="R19" s="2" t="str">
        <f aca="false">IF(Q19&gt;=17,"Critical",IF(Q19&gt;=10,"High",IF(Q19&gt;=5,"Medium","Low")))</f>
        <v>Medium</v>
      </c>
      <c r="S19" s="2" t="s">
        <v>29</v>
      </c>
      <c r="T19" s="2" t="s">
        <v>30</v>
      </c>
    </row>
  </sheetData>
  <autoFilter ref="A1:T19"/>
  <conditionalFormatting sqref="H2:H19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conditionalFormatting sqref="R2:R19">
    <cfRule type="cellIs" priority="6" operator="equal" aboveAverage="0" equalAverage="0" bottom="0" percent="0" rank="0" text="" dxfId="8">
      <formula>"Critical"</formula>
    </cfRule>
    <cfRule type="cellIs" priority="7" operator="equal" aboveAverage="0" equalAverage="0" bottom="0" percent="0" rank="0" text="" dxfId="9">
      <formula>"High"</formula>
    </cfRule>
    <cfRule type="cellIs" priority="8" operator="equal" aboveAverage="0" equalAverage="0" bottom="0" percent="0" rank="0" text="" dxfId="10">
      <formula>"Medium"</formula>
    </cfRule>
    <cfRule type="cellIs" priority="9" operator="equal" aboveAverage="0" equalAverage="0" bottom="0" percent="0" rank="0" text="" dxfId="11">
      <formula>"Low"</formula>
    </cfRule>
  </conditionalFormatting>
  <conditionalFormatting sqref="S2:S19">
    <cfRule type="cellIs" priority="10" operator="equal" aboveAverage="0" equalAverage="0" bottom="0" percent="0" rank="0" text="" dxfId="12">
      <formula>"Complete"</formula>
    </cfRule>
    <cfRule type="cellIs" priority="11" operator="equal" aboveAverage="0" equalAverage="0" bottom="0" percent="0" rank="0" text="" dxfId="13">
      <formula>"In Progress"</formula>
    </cfRule>
    <cfRule type="cellIs" priority="12" operator="equal" aboveAverage="0" equalAverage="0" bottom="0" percent="0" rank="0" text="" dxfId="14">
      <formula>"Open"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</cols>
  <sheetData>
    <row r="1" customFormat="false" ht="15" hidden="false" customHeight="false" outlineLevel="0" collapsed="false">
      <c r="A1" s="4" t="s">
        <v>159</v>
      </c>
    </row>
    <row r="3" customFormat="false" ht="15" hidden="false" customHeight="false" outlineLevel="0" collapsed="false">
      <c r="A3" s="5" t="s">
        <v>7</v>
      </c>
      <c r="B3" s="5" t="s">
        <v>160</v>
      </c>
      <c r="C3" s="5" t="s">
        <v>161</v>
      </c>
    </row>
    <row r="4" customFormat="false" ht="15" hidden="false" customHeight="false" outlineLevel="0" collapsed="false">
      <c r="A4" s="6" t="s">
        <v>162</v>
      </c>
      <c r="B4" s="7" t="n">
        <f aca="false">COUNTIF('Risk Register'!H2:H19,A4)</f>
        <v>1</v>
      </c>
      <c r="C4" s="7" t="n">
        <f aca="false">COUNTIF('Risk Register'!R2:R19,A4)</f>
        <v>0</v>
      </c>
    </row>
    <row r="5" customFormat="false" ht="15" hidden="false" customHeight="false" outlineLevel="0" collapsed="false">
      <c r="A5" s="6" t="s">
        <v>163</v>
      </c>
      <c r="B5" s="7" t="n">
        <f aca="false">COUNTIF('Risk Register'!H2:H19,A5)</f>
        <v>17</v>
      </c>
      <c r="C5" s="7" t="n">
        <f aca="false">COUNTIF('Risk Register'!R2:R19,A5)</f>
        <v>0</v>
      </c>
    </row>
    <row r="6" customFormat="false" ht="15" hidden="false" customHeight="false" outlineLevel="0" collapsed="false">
      <c r="A6" s="6" t="s">
        <v>164</v>
      </c>
      <c r="B6" s="7" t="n">
        <f aca="false">COUNTIF('Risk Register'!H2:H19,A6)</f>
        <v>0</v>
      </c>
      <c r="C6" s="7" t="n">
        <f aca="false">COUNTIF('Risk Register'!R2:R19,A6)</f>
        <v>17</v>
      </c>
    </row>
    <row r="7" customFormat="false" ht="15" hidden="false" customHeight="false" outlineLevel="0" collapsed="false">
      <c r="A7" s="6" t="s">
        <v>165</v>
      </c>
      <c r="B7" s="7" t="n">
        <f aca="false">COUNTIF('Risk Register'!H2:H19,A7)</f>
        <v>0</v>
      </c>
      <c r="C7" s="7" t="n">
        <f aca="false">COUNTIF('Risk Register'!R2:R19,A7)</f>
        <v>1</v>
      </c>
    </row>
    <row r="8" customFormat="false" ht="15" hidden="false" customHeight="false" outlineLevel="0" collapsed="false">
      <c r="A8" s="8" t="s">
        <v>166</v>
      </c>
      <c r="B8" s="8" t="n">
        <f aca="false">SUM(B4:B7)</f>
        <v>18</v>
      </c>
      <c r="C8" s="8" t="n">
        <f aca="false">SUM(C4:C7)</f>
        <v>18</v>
      </c>
    </row>
    <row r="10" customFormat="false" ht="15" hidden="false" customHeight="true" outlineLevel="0" collapsed="false">
      <c r="A10" s="9" t="s">
        <v>167</v>
      </c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</sheetData>
  <mergeCells count="1">
    <mergeCell ref="A10:F12"/>
  </mergeCells>
  <conditionalFormatting sqref="A4:A7">
    <cfRule type="cellIs" priority="2" operator="equal" aboveAverage="0" equalAverage="0" bottom="0" percent="0" rank="0" text="" dxfId="8">
      <formula>"Critical"</formula>
    </cfRule>
    <cfRule type="cellIs" priority="3" operator="equal" aboveAverage="0" equalAverage="0" bottom="0" percent="0" rank="0" text="" dxfId="9">
      <formula>"High"</formula>
    </cfRule>
    <cfRule type="cellIs" priority="4" operator="equal" aboveAverage="0" equalAverage="0" bottom="0" percent="0" rank="0" text="" dxfId="10">
      <formula>"Medium"</formula>
    </cfRule>
    <cfRule type="cellIs" priority="5" operator="equal" aboveAverage="0" equalAverage="0" bottom="0" percent="0" rank="0" text="" dxfId="11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2026-10-08T19:56:42Z</dcterms:created>
  <dc:creator>openpyxl</dc:creator>
  <dc:description/>
  <dc:language>en-US</dc:language>
  <cp:lastModifiedBy/>
  <dcterms:modified xsi:type="dcterms:W3CDTF">2026-10-08T19:56:42Z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