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ssessment" sheetId="1" state="visible" r:id="rId3"/>
    <sheet name="Summary" sheetId="2" state="visible" r:id="rId4"/>
  </sheets>
  <definedNames>
    <definedName function="false" hidden="true" localSheetId="0" name="_xlnm._FilterDatabase" vbProcedure="false">'Gap Assessment'!$A$3:$G$12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<sst xmlns="http://schemas.openxmlformats.org/spreadsheetml/2006/main" count="75" uniqueCount="58">
  <si>
    <t xml:space="preserve">Simulated portfolio project - HawkPay Technologies Pvt. Ltd. is fictional. Not a certification claim. Rows marked '(added)' extend the brief to cover risks R-013 and R-018.</t>
  </si>
  <si>
    <t xml:space="preserve">Control Area</t>
  </si>
  <si>
    <t xml:space="preserve">Current State</t>
  </si>
  <si>
    <t xml:space="preserve">Target State</t>
  </si>
  <si>
    <t xml:space="preserve">Gap</t>
  </si>
  <si>
    <t xml:space="preserve">Severity</t>
  </si>
  <si>
    <t xml:space="preserve">Recommendation</t>
  </si>
  <si>
    <t xml:space="preserve">ISO Reference</t>
  </si>
  <si>
    <t xml:space="preserve">Access review</t>
  </si>
  <si>
    <t xml:space="preserve">Ad hoc</t>
  </si>
  <si>
    <t xml:space="preserve">Quarterly</t>
  </si>
  <si>
    <t xml:space="preserve">Yes</t>
  </si>
  <si>
    <t xml:space="preserve">High</t>
  </si>
  <si>
    <t xml:space="preserve">Implement quarterly review</t>
  </si>
  <si>
    <t xml:space="preserve">A.5.15 / A.5.18</t>
  </si>
  <si>
    <t xml:space="preserve">MFA</t>
  </si>
  <si>
    <t xml:space="preserve">82% coverage</t>
  </si>
  <si>
    <t xml:space="preserve">100%</t>
  </si>
  <si>
    <t xml:space="preserve">Enforce MFA</t>
  </si>
  <si>
    <t xml:space="preserve">A.5.17 / A.8.5</t>
  </si>
  <si>
    <t xml:space="preserve">Security awareness</t>
  </si>
  <si>
    <t xml:space="preserve">Informal</t>
  </si>
  <si>
    <t xml:space="preserve">Annual program</t>
  </si>
  <si>
    <t xml:space="preserve">Medium</t>
  </si>
  <si>
    <t xml:space="preserve">Formal training</t>
  </si>
  <si>
    <t xml:space="preserve">A.6.3</t>
  </si>
  <si>
    <t xml:space="preserve">Backup testing</t>
  </si>
  <si>
    <t xml:space="preserve">No regular test</t>
  </si>
  <si>
    <t xml:space="preserve">Conduct restore testing</t>
  </si>
  <si>
    <t xml:space="preserve">A.8.13</t>
  </si>
  <si>
    <t xml:space="preserve">Supplier assessment</t>
  </si>
  <si>
    <t xml:space="preserve">Partial</t>
  </si>
  <si>
    <t xml:space="preserve">Formal process</t>
  </si>
  <si>
    <t xml:space="preserve">Create vendor questionnaire</t>
  </si>
  <si>
    <t xml:space="preserve">A.5.19 / A.5.20</t>
  </si>
  <si>
    <t xml:space="preserve">Incident response</t>
  </si>
  <si>
    <t xml:space="preserve">Documented</t>
  </si>
  <si>
    <t xml:space="preserve">Tested</t>
  </si>
  <si>
    <t xml:space="preserve">Conduct tabletop exercise</t>
  </si>
  <si>
    <t xml:space="preserve">A.5.24 / A.5.26</t>
  </si>
  <si>
    <t xml:space="preserve">Log retention (added)</t>
  </si>
  <si>
    <t xml:space="preserve">Default retention</t>
  </si>
  <si>
    <t xml:space="preserve">12 months, protected</t>
  </si>
  <si>
    <t xml:space="preserve">Centralise logs and set retention</t>
  </si>
  <si>
    <t xml:space="preserve">A.8.15</t>
  </si>
  <si>
    <t xml:space="preserve">Network segmentation (added)</t>
  </si>
  <si>
    <t xml:space="preserve">Flat network</t>
  </si>
  <si>
    <t xml:space="preserve">Segmented prod/corp/dev</t>
  </si>
  <si>
    <t xml:space="preserve">Segment and review security groups</t>
  </si>
  <si>
    <t xml:space="preserve">A.8.22</t>
  </si>
  <si>
    <t xml:space="preserve">Asset inventory</t>
  </si>
  <si>
    <t xml:space="preserve">Maintained (20 assets)</t>
  </si>
  <si>
    <t xml:space="preserve">Maintained and reviewed</t>
  </si>
  <si>
    <t xml:space="preserve">No</t>
  </si>
  <si>
    <t xml:space="preserve">Low</t>
  </si>
  <si>
    <t xml:space="preserve">Annual review</t>
  </si>
  <si>
    <t xml:space="preserve">A.5.9</t>
  </si>
  <si>
    <t xml:space="preserve">Gaps by severity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</si>
</sst>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4B183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FE699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38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customFormat="false" ht="15" hidden="false" customHeight="false" outlineLevel="0" collapsed="false">
      <c r="A5" s="3" t="s">
        <v>15</v>
      </c>
      <c r="B5" s="3" t="s">
        <v>16</v>
      </c>
      <c r="C5" s="3" t="s">
        <v>17</v>
      </c>
      <c r="D5" s="3" t="s">
        <v>11</v>
      </c>
      <c r="E5" s="3" t="s">
        <v>12</v>
      </c>
      <c r="F5" s="3" t="s">
        <v>18</v>
      </c>
      <c r="G5" s="3" t="s">
        <v>19</v>
      </c>
    </row>
    <row r="6" customFormat="false" ht="15" hidden="false" customHeight="false" outlineLevel="0" collapsed="false">
      <c r="A6" s="3" t="s">
        <v>20</v>
      </c>
      <c r="B6" s="3" t="s">
        <v>21</v>
      </c>
      <c r="C6" s="3" t="s">
        <v>22</v>
      </c>
      <c r="D6" s="3" t="s">
        <v>11</v>
      </c>
      <c r="E6" s="3" t="s">
        <v>23</v>
      </c>
      <c r="F6" s="3" t="s">
        <v>24</v>
      </c>
      <c r="G6" s="3" t="s">
        <v>25</v>
      </c>
    </row>
    <row r="7" customFormat="false" ht="15" hidden="false" customHeight="false" outlineLevel="0" collapsed="false">
      <c r="A7" s="3" t="s">
        <v>26</v>
      </c>
      <c r="B7" s="3" t="s">
        <v>27</v>
      </c>
      <c r="C7" s="3" t="s">
        <v>10</v>
      </c>
      <c r="D7" s="3" t="s">
        <v>11</v>
      </c>
      <c r="E7" s="3" t="s">
        <v>12</v>
      </c>
      <c r="F7" s="3" t="s">
        <v>28</v>
      </c>
      <c r="G7" s="3" t="s">
        <v>29</v>
      </c>
    </row>
    <row r="8" customFormat="false" ht="15" hidden="false" customHeight="false" outlineLevel="0" collapsed="false">
      <c r="A8" s="3" t="s">
        <v>30</v>
      </c>
      <c r="B8" s="3" t="s">
        <v>31</v>
      </c>
      <c r="C8" s="3" t="s">
        <v>32</v>
      </c>
      <c r="D8" s="3" t="s">
        <v>11</v>
      </c>
      <c r="E8" s="3" t="s">
        <v>23</v>
      </c>
      <c r="F8" s="3" t="s">
        <v>33</v>
      </c>
      <c r="G8" s="3" t="s">
        <v>34</v>
      </c>
    </row>
    <row r="9" customFormat="false" ht="15" hidden="false" customHeight="false" outlineLevel="0" collapsed="false">
      <c r="A9" s="3" t="s">
        <v>35</v>
      </c>
      <c r="B9" s="3" t="s">
        <v>36</v>
      </c>
      <c r="C9" s="3" t="s">
        <v>37</v>
      </c>
      <c r="D9" s="3" t="s">
        <v>11</v>
      </c>
      <c r="E9" s="3" t="s">
        <v>12</v>
      </c>
      <c r="F9" s="3" t="s">
        <v>38</v>
      </c>
      <c r="G9" s="3" t="s">
        <v>39</v>
      </c>
    </row>
    <row r="10" customFormat="false" ht="15" hidden="false" customHeight="false" outlineLevel="0" collapsed="false">
      <c r="A10" s="3" t="s">
        <v>40</v>
      </c>
      <c r="B10" s="3" t="s">
        <v>41</v>
      </c>
      <c r="C10" s="3" t="s">
        <v>42</v>
      </c>
      <c r="D10" s="3" t="s">
        <v>11</v>
      </c>
      <c r="E10" s="3" t="s">
        <v>23</v>
      </c>
      <c r="F10" s="3" t="s">
        <v>43</v>
      </c>
      <c r="G10" s="3" t="s">
        <v>44</v>
      </c>
    </row>
    <row r="11" customFormat="false" ht="15" hidden="false" customHeight="false" outlineLevel="0" collapsed="false">
      <c r="A11" s="3" t="s">
        <v>45</v>
      </c>
      <c r="B11" s="3" t="s">
        <v>46</v>
      </c>
      <c r="C11" s="3" t="s">
        <v>47</v>
      </c>
      <c r="D11" s="3" t="s">
        <v>11</v>
      </c>
      <c r="E11" s="3" t="s">
        <v>23</v>
      </c>
      <c r="F11" s="3" t="s">
        <v>48</v>
      </c>
      <c r="G11" s="3" t="s">
        <v>49</v>
      </c>
    </row>
    <row r="12" customFormat="false" ht="15" hidden="false" customHeight="false" outlineLevel="0" collapsed="false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</row>
  </sheetData>
  <autoFilter ref="A3:G12"/>
  <conditionalFormatting sqref="E4:E12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"Medium"</formula>
    </cfRule>
    <cfRule type="cellIs" priority="5" operator="equal" aboveAverage="0" equalAverage="0" bottom="0" percent="0" rank="0" text="" dxfId="10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4" t="s">
        <v>57</v>
      </c>
    </row>
    <row r="3" customFormat="false" ht="15" hidden="false" customHeight="false" outlineLevel="0" collapsed="false">
      <c r="A3" s="0" t="s">
        <v>12</v>
      </c>
      <c r="B3" s="0" t="n">
        <f aca="false">COUNTIFS('Gap Assessment'!E4:E12,A3,'Gap Assessment'!D4:D12,"Yes")</f>
        <v>4</v>
      </c>
    </row>
    <row r="4" customFormat="false" ht="15" hidden="false" customHeight="false" outlineLevel="0" collapsed="false">
      <c r="A4" s="0" t="s">
        <v>23</v>
      </c>
      <c r="B4" s="0" t="n">
        <f aca="false">COUNTIFS('Gap Assessment'!E4:E12,A4,'Gap Assessment'!D4:D12,"Yes")</f>
        <v>4</v>
      </c>
    </row>
    <row r="5" customFormat="false" ht="15" hidden="false" customHeight="false" outlineLevel="0" collapsed="false">
      <c r="A5" s="0" t="s">
        <v>54</v>
      </c>
      <c r="B5" s="0" t="n">
        <f aca="false">COUNTIFS('Gap Assessment'!E4:E12,A5,'Gap Assessment'!D4:D12,"Yes")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2026-10-08T19:56:43Z</dcterms:created>
  <dc:creator>openpyxl</dc:creator>
  <dc:description/>
  <dc:language>en-US</dc:language>
  <cp:lastModifiedBy/>
  <dcterms:modified xsi:type="dcterms:W3CDTF">2026-10-08T19:56:43Z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