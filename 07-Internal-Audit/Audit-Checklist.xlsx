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Checklist" sheetId="1" state="visible" r:id="rId3"/>
    <sheet name="Summary" sheetId="2" state="visible" r:id="rId4"/>
  </sheets>
  <definedNames>
    <definedName function="false" hidden="true" localSheetId="0" name="_xlnm._FilterDatabase" vbProcedure="false">'Audit Checklist'!$A$3:$D$10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<sst xmlns="http://schemas.openxmlformats.org/spreadsheetml/2006/main" count="37" uniqueCount="30">
  <si>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Simulated portfolio project - HawkPay Technologies Pvt. Ltd. is fictional. Not a certification claim. Mock internal audit (clause 9.2).</t>
  </si>
  <si>
    <t xml:space="preserve">Control</t>
  </si>
  <si>
    <t xml:space="preserve">Audit Question</t>
  </si>
  <si>
    <t xml:space="preserve">Evidence</t>
  </si>
  <si>
    <t xml:space="preserve">Result</t>
  </si>
  <si>
    <t xml:space="preserve">A.5.9</t>
  </si>
  <si>
    <t xml:space="preserve">Are assets inventoried?</t>
  </si>
  <si>
    <t xml:space="preserve">Asset register</t>
  </si>
  <si>
    <t xml:space="preserve">Pass</t>
  </si>
  <si>
    <t xml:space="preserve">A.5.15</t>
  </si>
  <si>
    <t xml:space="preserve">Are access rights reviewed?</t>
  </si>
  <si>
    <t xml:space="preserve">Access review report</t>
  </si>
  <si>
    <t xml:space="preserve">Partial</t>
  </si>
  <si>
    <t xml:space="preserve">A.5.17</t>
  </si>
  <si>
    <t xml:space="preserve">Is MFA enforced?</t>
  </si>
  <si>
    <t xml:space="preserve">IAM configuration</t>
  </si>
  <si>
    <t xml:space="preserve">A.8.13</t>
  </si>
  <si>
    <t xml:space="preserve">Are backups tested?</t>
  </si>
  <si>
    <t xml:space="preserve">Restore test record</t>
  </si>
  <si>
    <t xml:space="preserve">Fail</t>
  </si>
  <si>
    <t xml:space="preserve">A.5.1</t>
  </si>
  <si>
    <t xml:space="preserve">Are security policies approved?</t>
  </si>
  <si>
    <t xml:space="preserve">Policy register</t>
  </si>
  <si>
    <t xml:space="preserve">A.5.24</t>
  </si>
  <si>
    <t xml:space="preserve">Are incidents documented?</t>
  </si>
  <si>
    <t xml:space="preserve">Incident records</t>
  </si>
  <si>
    <t xml:space="preserve">A.5.19</t>
  </si>
  <si>
    <t xml:space="preserve">Are vendors assessed?</t>
  </si>
  <si>
    <t xml:space="preserve">Vendor reviews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</si>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</sst>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12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  <c r="D7" s="3" t="s">
        <v>19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22</v>
      </c>
      <c r="D8" s="3" t="s">
        <v>8</v>
      </c>
    </row>
    <row r="9" customFormat="false" ht="15" hidden="false" customHeight="false" outlineLevel="0" collapsed="false">
      <c r="A9" s="3" t="s">
        <v>23</v>
      </c>
      <c r="B9" s="3" t="s">
        <v>24</v>
      </c>
      <c r="C9" s="3" t="s">
        <v>25</v>
      </c>
      <c r="D9" s="3" t="s">
        <v>8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28</v>
      </c>
      <c r="D10" s="3" t="s">
        <v>12</v>
      </c>
    </row>
  </sheetData>
  <autoFilter ref="A3:D10"/>
  <conditionalFormatting sqref="D4:D1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"Partial"</formula>
    </cfRule>
    <cfRule type="cellIs" priority="4" operator="equal" aboveAverage="0" equalAverage="0" bottom="0" percent="0" rank="0" text="" dxfId="8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n">
        <f aca="false">COUNTIF('Audit Checklist'!D4:D10,A1)</f>
        <v>3</v>
      </c>
    </row>
    <row r="2" customFormat="false" ht="15" hidden="false" customHeight="false" outlineLevel="0" collapsed="false">
      <c r="A2" s="0" t="s">
        <v>12</v>
      </c>
      <c r="B2" s="0" t="n">
        <f aca="false">COUNTIF('Audit Checklist'!D4:D10,A2)</f>
        <v>3</v>
      </c>
    </row>
    <row r="3" customFormat="false" ht="15" hidden="false" customHeight="false" outlineLevel="0" collapsed="false">
      <c r="A3" s="0" t="s">
        <v>19</v>
      </c>
      <c r="B3" s="0" t="n">
        <f aca="false">COUNTIF('Audit Checklist'!D4:D10,A3)</f>
        <v>1</v>
      </c>
    </row>
    <row r="5" customFormat="false" ht="15" hidden="false" customHeight="false" outlineLevel="0" collapsed="false">
      <c r="A5" s="0" t="s">
        <v>29</v>
      </c>
      <c r="B5" s="4" t="n">
        <f aca="false">B1/SUM(B1:B3)</f>
        <v>0.428571428571429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2026-10-08T19:56:43Z</dcterms:created>
  <dc:creator>openpyxl</dc:creator>
  <dc:description/>
  <dc:language>en-US</dc:language>
  <cp:lastModifiedBy/>
  <dcterms:modified xsi:type="dcterms:W3CDTF">2026-10-08T19:56:43Z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