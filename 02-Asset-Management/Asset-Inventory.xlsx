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 Inventory" sheetId="1" state="visible" r:id="rId3"/>
    <sheet name="Notes" sheetId="2" state="visible" r:id="rId4"/>
  </sheets>
  <definedNames>
    <definedName function="false" hidden="true" localSheetId="0" name="_xlnm._FilterDatabase" vbProcedure="false">'Asset Inventory'!$A$1:$P$21</definedName>
    <definedName function="false" hidden="true" localSheetId="1" name="_xlnm._FilterDatabase" vbProcedure="false">Notes!$A$1:$A$6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<sst xmlns="http://schemas.openxmlformats.org/spreadsheetml/2006/main" count="751" uniqueCount="195">
  <si>
    <t xml:space="preserve">Asset ID</t>
  </si>
  <si>
    <t xml:space="preserve">Asset Name</t>
  </si>
  <si>
    <t xml:space="preserve">Description</t>
  </si>
  <si>
    <t xml:space="preserve">Asset Owner</t>
  </si>
  <si>
    <t xml:space="preserve">Custodian</t>
  </si>
  <si>
    <t xml:space="preserve">Asset Type</t>
  </si>
  <si>
    <t xml:space="preserve">Classification</t>
  </si>
  <si>
    <t xml:space="preserve">Location</t>
  </si>
  <si>
    <t xml:space="preserve">C</t>
  </si>
  <si>
    <t xml:space="preserve">I</t>
  </si>
  <si>
    <t xml:space="preserve">A</t>
  </si>
  <si>
    <t xml:space="preserve">CIA Importance</t>
  </si>
  <si>
    <t xml:space="preserve">Criticality (MAX)</t>
  </si>
  <si>
    <t xml:space="preserve">Criticality Level</t>
  </si>
  <si>
    <t xml:space="preserve">Backup Required</t>
  </si>
  <si>
    <t xml:space="preserve">Retention Period</t>
  </si>
  <si>
    <t xml:space="preserve">AST-001</t>
  </si>
  <si>
    <t xml:space="preserve">Customer Database</t>
  </si>
  <si>
    <t xml:space="preserve">PostgreSQL database holding customer and transaction data</t>
  </si>
  <si>
    <t xml:space="preserve">CTO</t>
  </si>
  <si>
    <t xml:space="preserve">DevOps Lead</t>
  </si>
  <si>
    <t xml:space="preserve">Data</t>
  </si>
  <si>
    <t xml:space="preserve">Restricted</t>
  </si>
  <si>
    <t xml:space="preserve">AWS (RDS PostgreSQL)</t>
  </si>
  <si>
    <t xml:space="preserve">Yes</t>
  </si>
  <si>
    <t xml:space="preserve">As per retention schedule (TBD with legal)</t>
  </si>
  <si>
    <t xml:space="preserve">AST-002</t>
  </si>
  <si>
    <t xml:space="preserve">Payment Application</t>
  </si>
  <si>
    <t xml:space="preserve">Cloud-based payment management platform</t>
  </si>
  <si>
    <t xml:space="preserve">Engineering Lead</t>
  </si>
  <si>
    <t xml:space="preserve">Application</t>
  </si>
  <si>
    <t xml:space="preserve">Confidential</t>
  </si>
  <si>
    <t xml:space="preserve">AWS</t>
  </si>
  <si>
    <t xml:space="preserve">Per release policy</t>
  </si>
  <si>
    <t xml:space="preserve">AST-003</t>
  </si>
  <si>
    <t xml:space="preserve">AWS Production Environment</t>
  </si>
  <si>
    <t xml:space="preserve">Production cloud infrastructure (compute, network, IAM)</t>
  </si>
  <si>
    <t xml:space="preserve">Infrastructure</t>
  </si>
  <si>
    <t xml:space="preserve">Yes (config as code)</t>
  </si>
  <si>
    <t xml:space="preserve">N/A</t>
  </si>
  <si>
    <t xml:space="preserve">AST-004</t>
  </si>
  <si>
    <t xml:space="preserve">GitHub Repository</t>
  </si>
  <si>
    <t xml:space="preserve">Source control platform hosting application code and pipelines</t>
  </si>
  <si>
    <t xml:space="preserve">Source Code</t>
  </si>
  <si>
    <t xml:space="preserve">GitHub (SaaS)</t>
  </si>
  <si>
    <t xml:space="preserve">Life of product</t>
  </si>
  <si>
    <t xml:space="preserve">AST-005</t>
  </si>
  <si>
    <t xml:space="preserve">Microsoft 365</t>
  </si>
  <si>
    <t xml:space="preserve">Email, collaboration and identity services</t>
  </si>
  <si>
    <t xml:space="preserve">IT Manager</t>
  </si>
  <si>
    <t xml:space="preserve">SaaS</t>
  </si>
  <si>
    <t xml:space="preserve">Microsoft cloud</t>
  </si>
  <si>
    <t xml:space="preserve">Per mailbox retention policy</t>
  </si>
  <si>
    <t xml:space="preserve">AST-006</t>
  </si>
  <si>
    <t xml:space="preserve">Employee Laptops</t>
  </si>
  <si>
    <t xml:space="preserve">Windows/macOS corporate endpoints</t>
  </si>
  <si>
    <t xml:space="preserve">Hardware</t>
  </si>
  <si>
    <t xml:space="preserve">Internal</t>
  </si>
  <si>
    <t xml:space="preserve">Office / remote</t>
  </si>
  <si>
    <t xml:space="preserve">No (data on cloud)</t>
  </si>
  <si>
    <t xml:space="preserve">Device life (3-4 yrs)</t>
  </si>
  <si>
    <t xml:space="preserve">AST-007</t>
  </si>
  <si>
    <t xml:space="preserve">VPN</t>
  </si>
  <si>
    <t xml:space="preserve">Remote access VPN to corporate and production networks</t>
  </si>
  <si>
    <t xml:space="preserve">Network</t>
  </si>
  <si>
    <t xml:space="preserve">Cloud / office</t>
  </si>
  <si>
    <t xml:space="preserve">Config only</t>
  </si>
  <si>
    <t xml:space="preserve">AST-008</t>
  </si>
  <si>
    <t xml:space="preserve">Firewall</t>
  </si>
  <si>
    <t xml:space="preserve">Perimeter and cloud firewall / security groups</t>
  </si>
  <si>
    <t xml:space="preserve">Office / AWS</t>
  </si>
  <si>
    <t xml:space="preserve">AST-009</t>
  </si>
  <si>
    <t xml:space="preserve">Company Website</t>
  </si>
  <si>
    <t xml:space="preserve">Public marketing website</t>
  </si>
  <si>
    <t xml:space="preserve">Marketing</t>
  </si>
  <si>
    <t xml:space="preserve">Public</t>
  </si>
  <si>
    <t xml:space="preserve">Hosted (cloud)</t>
  </si>
  <si>
    <t xml:space="preserve">Current version + 12 months</t>
  </si>
  <si>
    <t xml:space="preserve">AST-010</t>
  </si>
  <si>
    <t xml:space="preserve">CRM System</t>
  </si>
  <si>
    <t xml:space="preserve">Customer relationship and sales pipeline</t>
  </si>
  <si>
    <t xml:space="preserve">Sales Manager</t>
  </si>
  <si>
    <t xml:space="preserve">CRM vendor cloud</t>
  </si>
  <si>
    <t xml:space="preserve">Vendor + export</t>
  </si>
  <si>
    <t xml:space="preserve">Per customer lifecycle</t>
  </si>
  <si>
    <t xml:space="preserve">AST-011</t>
  </si>
  <si>
    <t xml:space="preserve">HR Management System</t>
  </si>
  <si>
    <t xml:space="preserve">Employee records and HR workflows</t>
  </si>
  <si>
    <t xml:space="preserve">HR Manager</t>
  </si>
  <si>
    <t xml:space="preserve">HR SaaS vendor cloud</t>
  </si>
  <si>
    <t xml:space="preserve">Vendor</t>
  </si>
  <si>
    <t xml:space="preserve">Employment + statutory period</t>
  </si>
  <si>
    <t xml:space="preserve">AST-012</t>
  </si>
  <si>
    <t xml:space="preserve">Payroll Data</t>
  </si>
  <si>
    <t xml:space="preserve">Salary, bank and tax details of employees</t>
  </si>
  <si>
    <t xml:space="preserve">Finance Manager</t>
  </si>
  <si>
    <t xml:space="preserve">HR/payroll SaaS</t>
  </si>
  <si>
    <t xml:space="preserve">Statutory period (TBD with legal)</t>
  </si>
  <si>
    <t xml:space="preserve">AST-013</t>
  </si>
  <si>
    <t xml:space="preserve">Backup Repository</t>
  </si>
  <si>
    <t xml:space="preserve">Cloud backups of production data</t>
  </si>
  <si>
    <t xml:space="preserve">Storage</t>
  </si>
  <si>
    <t xml:space="preserve">AWS (separate account/bucket)</t>
  </si>
  <si>
    <t xml:space="preserve">N/A (is the backup)</t>
  </si>
  <si>
    <t xml:space="preserve">Per Backup Policy</t>
  </si>
  <si>
    <t xml:space="preserve">AST-014</t>
  </si>
  <si>
    <t xml:space="preserve">Source Code Repository (data view)</t>
  </si>
  <si>
    <t xml:space="preserve">Source code as an information asset (see note: overlaps AST-004)</t>
  </si>
  <si>
    <t xml:space="preserve">AST-015</t>
  </si>
  <si>
    <t xml:space="preserve">Employee Directory</t>
  </si>
  <si>
    <t xml:space="preserve">Employee contact and role information</t>
  </si>
  <si>
    <t xml:space="preserve">Microsoft 365 / HRMS</t>
  </si>
  <si>
    <t xml:space="preserve">Employment duration</t>
  </si>
  <si>
    <t xml:space="preserve">AST-016</t>
  </si>
  <si>
    <t xml:space="preserve">Security Logs</t>
  </si>
  <si>
    <t xml:space="preserve">CloudTrail, VPN, endpoint and M365 audit logs</t>
  </si>
  <si>
    <t xml:space="preserve">Security Lead</t>
  </si>
  <si>
    <t xml:space="preserve">AWS / SIEM</t>
  </si>
  <si>
    <t xml:space="preserve">12 months (proposed)</t>
  </si>
  <si>
    <t xml:space="preserve">AST-017</t>
  </si>
  <si>
    <t xml:space="preserve">API Keys / Secrets</t>
  </si>
  <si>
    <t xml:space="preserve">Credentials, tokens and keys for systems and integrations</t>
  </si>
  <si>
    <t xml:space="preserve">Credential</t>
  </si>
  <si>
    <t xml:space="preserve">AWS / GitHub</t>
  </si>
  <si>
    <t xml:space="preserve">Yes (vault)</t>
  </si>
  <si>
    <t xml:space="preserve">Until rotated</t>
  </si>
  <si>
    <t xml:space="preserve">AST-018</t>
  </si>
  <si>
    <t xml:space="preserve">Customer Support Platform</t>
  </si>
  <si>
    <t xml:space="preserve">Ticketing and support communications</t>
  </si>
  <si>
    <t xml:space="preserve">Support Lead</t>
  </si>
  <si>
    <t xml:space="preserve">Vendor cloud</t>
  </si>
  <si>
    <t xml:space="preserve">Per support policy</t>
  </si>
  <si>
    <t xml:space="preserve">AST-019</t>
  </si>
  <si>
    <t xml:space="preserve">Security Documentation</t>
  </si>
  <si>
    <t xml:space="preserve">ISMS policies, procedures and records</t>
  </si>
  <si>
    <t xml:space="preserve">Document</t>
  </si>
  <si>
    <t xml:space="preserve">SharePoint / GitHub</t>
  </si>
  <si>
    <t xml:space="preserve">Current + prior versions</t>
  </si>
  <si>
    <t xml:space="preserve">AST-020</t>
  </si>
  <si>
    <t xml:space="preserve">Vendor Contracts</t>
  </si>
  <si>
    <t xml:space="preserve">Supplier agreements and NDAs</t>
  </si>
  <si>
    <t xml:space="preserve">Legal/Finance</t>
  </si>
  <si>
    <t xml:space="preserve">SharePoint / finance system</t>
  </si>
  <si>
    <t xml:space="preserve">Contract term + 7 years (assumed)</t>
  </si>
  <si>
    <t xml:space="preserve">Note</t>
  </si>
  <si>
    <t xml:space="preserve">o</t>
  </si>
  <si>
    <t xml:space="preserve">n</t>
  </si>
  <si>
    <t xml:space="preserve">f</t>
  </si>
  <si>
    <t xml:space="preserve">i</t>
  </si>
  <si>
    <t xml:space="preserve">d</t>
  </si>
  <si>
    <t xml:space="preserve">e</t>
  </si>
  <si>
    <t xml:space="preserve">t</t>
  </si>
  <si>
    <t xml:space="preserve">a</t>
  </si>
  <si>
    <t xml:space="preserve">l</t>
  </si>
  <si>
    <t xml:space="preserve">y</t>
  </si>
  <si>
    <t xml:space="preserve"> </t>
  </si>
  <si>
    <t xml:space="preserve">/</t>
  </si>
  <si>
    <t xml:space="preserve">g</t>
  </si>
  <si>
    <t xml:space="preserve">r</t>
  </si>
  <si>
    <t xml:space="preserve">v</t>
  </si>
  <si>
    <t xml:space="preserve">b</t>
  </si>
  <si>
    <t xml:space="preserve">1</t>
  </si>
  <si>
    <t xml:space="preserve">-</t>
  </si>
  <si>
    <t xml:space="preserve">5</t>
  </si>
  <si>
    <t xml:space="preserve">.</t>
  </si>
  <si>
    <t xml:space="preserve">c</t>
  </si>
  <si>
    <t xml:space="preserve">=</t>
  </si>
  <si>
    <t xml:space="preserve">M</t>
  </si>
  <si>
    <t xml:space="preserve">X</t>
  </si>
  <si>
    <t xml:space="preserve">(</t>
  </si>
  <si>
    <t xml:space="preserve">,</t>
  </si>
  <si>
    <t xml:space="preserve">)</t>
  </si>
  <si>
    <t xml:space="preserve">u</t>
  </si>
  <si>
    <t xml:space="preserve">m</t>
  </si>
  <si>
    <t xml:space="preserve">s</t>
  </si>
  <si>
    <t xml:space="preserve">D</t>
  </si>
  <si>
    <t xml:space="preserve">B</t>
  </si>
  <si>
    <t xml:space="preserve">G</t>
  </si>
  <si>
    <t xml:space="preserve">H</t>
  </si>
  <si>
    <t xml:space="preserve">L</t>
  </si>
  <si>
    <t xml:space="preserve">p</t>
  </si>
  <si>
    <t xml:space="preserve">W</t>
  </si>
  <si>
    <t xml:space="preserve">h</t>
  </si>
  <si>
    <t xml:space="preserve">j</t>
  </si>
  <si>
    <t xml:space="preserve">;</t>
  </si>
  <si>
    <t xml:space="preserve">R</t>
  </si>
  <si>
    <t xml:space="preserve">w</t>
  </si>
  <si>
    <t xml:space="preserve">S</t>
  </si>
  <si>
    <t xml:space="preserve">T</t>
  </si>
  <si>
    <t xml:space="preserve">0</t>
  </si>
  <si>
    <t xml:space="preserve">4</t>
  </si>
  <si>
    <t xml:space="preserve">K</t>
  </si>
  <si>
    <t xml:space="preserve">:</t>
  </si>
  <si>
    <t xml:space="preserve">3</t>
  </si>
  <si>
    <t xml:space="preserve">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</si>
</sst>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4B183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FE699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22"/>
    <col collapsed="false" customWidth="true" hidden="false" outlineLevel="0" max="11" min="9" style="0" width="5"/>
    <col collapsed="false" customWidth="true" hidden="false" outlineLevel="0" max="14" min="12" style="0" width="13"/>
    <col collapsed="false" customWidth="true" hidden="false" outlineLevel="0" max="15" min="15" style="0" width="16"/>
    <col collapsed="false" customWidth="true" hidden="false" outlineLevel="0" max="16" min="16" style="0" width="3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n">
        <v>5</v>
      </c>
      <c r="J2" s="2" t="n">
        <v>5</v>
      </c>
      <c r="K2" s="2" t="n">
        <v>5</v>
      </c>
      <c r="L2" s="2" t="str">
        <f aca="false">I2&amp;"-"&amp;J2&amp;"-"&amp;K2</f>
        <v>5-5-5</v>
      </c>
      <c r="M2" s="2" t="n">
        <f aca="false">MAX(I2:K2)</f>
        <v>5</v>
      </c>
      <c r="N2" s="2" t="str">
        <f aca="false">IF(M2&gt;=5,"Critical",IF(M2=4,"High",IF(M2=3,"Medium","Low")))</f>
        <v>Critical</v>
      </c>
      <c r="O2" s="2" t="s">
        <v>24</v>
      </c>
      <c r="P2" s="2" t="s">
        <v>25</v>
      </c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28</v>
      </c>
      <c r="D3" s="2" t="s">
        <v>19</v>
      </c>
      <c r="E3" s="2" t="s">
        <v>29</v>
      </c>
      <c r="F3" s="2" t="s">
        <v>30</v>
      </c>
      <c r="G3" s="2" t="s">
        <v>31</v>
      </c>
      <c r="H3" s="2" t="s">
        <v>32</v>
      </c>
      <c r="I3" s="2" t="n">
        <v>4</v>
      </c>
      <c r="J3" s="2" t="n">
        <v>5</v>
      </c>
      <c r="K3" s="2" t="n">
        <v>5</v>
      </c>
      <c r="L3" s="2" t="str">
        <f aca="false">I3&amp;"-"&amp;J3&amp;"-"&amp;K3</f>
        <v>4-5-5</v>
      </c>
      <c r="M3" s="2" t="n">
        <f aca="false">MAX(I3:K3)</f>
        <v>5</v>
      </c>
      <c r="N3" s="2" t="str">
        <f aca="false">IF(M3&gt;=5,"Critical",IF(M3=4,"High",IF(M3=3,"Medium","Low")))</f>
        <v>Critical</v>
      </c>
      <c r="O3" s="2" t="s">
        <v>24</v>
      </c>
      <c r="P3" s="2" t="s">
        <v>33</v>
      </c>
    </row>
    <row r="4" customFormat="false" ht="23.85" hidden="false" customHeight="false" outlineLevel="0" collapsed="false">
      <c r="A4" s="2" t="s">
        <v>34</v>
      </c>
      <c r="B4" s="2" t="s">
        <v>35</v>
      </c>
      <c r="C4" s="2" t="s">
        <v>36</v>
      </c>
      <c r="D4" s="2" t="s">
        <v>20</v>
      </c>
      <c r="E4" s="2" t="s">
        <v>20</v>
      </c>
      <c r="F4" s="2" t="s">
        <v>37</v>
      </c>
      <c r="G4" s="2" t="s">
        <v>22</v>
      </c>
      <c r="H4" s="2" t="s">
        <v>32</v>
      </c>
      <c r="I4" s="2" t="n">
        <v>5</v>
      </c>
      <c r="J4" s="2" t="n">
        <v>5</v>
      </c>
      <c r="K4" s="2" t="n">
        <v>5</v>
      </c>
      <c r="L4" s="2" t="str">
        <f aca="false">I4&amp;"-"&amp;J4&amp;"-"&amp;K4</f>
        <v>5-5-5</v>
      </c>
      <c r="M4" s="2" t="n">
        <f aca="false">MAX(I4:K4)</f>
        <v>5</v>
      </c>
      <c r="N4" s="2" t="str">
        <f aca="false">IF(M4&gt;=5,"Critical",IF(M4=4,"High",IF(M4=3,"Medium","Low")))</f>
        <v>Critical</v>
      </c>
      <c r="O4" s="2" t="s">
        <v>38</v>
      </c>
      <c r="P4" s="2" t="s">
        <v>39</v>
      </c>
    </row>
    <row r="5" customFormat="false" ht="23.85" hidden="false" customHeight="false" outlineLevel="0" collapsed="false">
      <c r="A5" s="2" t="s">
        <v>40</v>
      </c>
      <c r="B5" s="2" t="s">
        <v>41</v>
      </c>
      <c r="C5" s="2" t="s">
        <v>42</v>
      </c>
      <c r="D5" s="2" t="s">
        <v>29</v>
      </c>
      <c r="E5" s="2" t="s">
        <v>29</v>
      </c>
      <c r="F5" s="2" t="s">
        <v>43</v>
      </c>
      <c r="G5" s="2" t="s">
        <v>31</v>
      </c>
      <c r="H5" s="2" t="s">
        <v>44</v>
      </c>
      <c r="I5" s="2" t="n">
        <v>4</v>
      </c>
      <c r="J5" s="2" t="n">
        <v>5</v>
      </c>
      <c r="K5" s="2" t="n">
        <v>4</v>
      </c>
      <c r="L5" s="2" t="str">
        <f aca="false">I5&amp;"-"&amp;J5&amp;"-"&amp;K5</f>
        <v>4-5-4</v>
      </c>
      <c r="M5" s="2" t="n">
        <f aca="false">MAX(I5:K5)</f>
        <v>5</v>
      </c>
      <c r="N5" s="2" t="str">
        <f aca="false">IF(M5&gt;=5,"Critical",IF(M5=4,"High",IF(M5=3,"Medium","Low")))</f>
        <v>Critical</v>
      </c>
      <c r="O5" s="2" t="s">
        <v>24</v>
      </c>
      <c r="P5" s="2" t="s">
        <v>45</v>
      </c>
    </row>
    <row r="6" customFormat="false" ht="15" hidden="false" customHeight="false" outlineLevel="0" collapsed="false">
      <c r="A6" s="2" t="s">
        <v>46</v>
      </c>
      <c r="B6" s="2" t="s">
        <v>47</v>
      </c>
      <c r="C6" s="2" t="s">
        <v>48</v>
      </c>
      <c r="D6" s="2" t="s">
        <v>49</v>
      </c>
      <c r="E6" s="2" t="s">
        <v>49</v>
      </c>
      <c r="F6" s="2" t="s">
        <v>50</v>
      </c>
      <c r="G6" s="2" t="s">
        <v>31</v>
      </c>
      <c r="H6" s="2" t="s">
        <v>51</v>
      </c>
      <c r="I6" s="2" t="n">
        <v>4</v>
      </c>
      <c r="J6" s="2" t="n">
        <v>4</v>
      </c>
      <c r="K6" s="2" t="n">
        <v>4</v>
      </c>
      <c r="L6" s="2" t="str">
        <f aca="false">I6&amp;"-"&amp;J6&amp;"-"&amp;K6</f>
        <v>4-4-4</v>
      </c>
      <c r="M6" s="2" t="n">
        <f aca="false">MAX(I6:K6)</f>
        <v>4</v>
      </c>
      <c r="N6" s="2" t="str">
        <f aca="false">IF(M6&gt;=5,"Critical",IF(M6=4,"High",IF(M6=3,"Medium","Low")))</f>
        <v>High</v>
      </c>
      <c r="O6" s="2" t="s">
        <v>24</v>
      </c>
      <c r="P6" s="2" t="s">
        <v>52</v>
      </c>
    </row>
    <row r="7" customFormat="false" ht="15" hidden="false" customHeight="false" outlineLevel="0" collapsed="false">
      <c r="A7" s="2" t="s">
        <v>53</v>
      </c>
      <c r="B7" s="2" t="s">
        <v>54</v>
      </c>
      <c r="C7" s="2" t="s">
        <v>55</v>
      </c>
      <c r="D7" s="2" t="s">
        <v>49</v>
      </c>
      <c r="E7" s="2" t="s">
        <v>49</v>
      </c>
      <c r="F7" s="2" t="s">
        <v>56</v>
      </c>
      <c r="G7" s="2" t="s">
        <v>57</v>
      </c>
      <c r="H7" s="2" t="s">
        <v>58</v>
      </c>
      <c r="I7" s="2" t="n">
        <v>3</v>
      </c>
      <c r="J7" s="2" t="n">
        <v>3</v>
      </c>
      <c r="K7" s="2" t="n">
        <v>3</v>
      </c>
      <c r="L7" s="2" t="str">
        <f aca="false">I7&amp;"-"&amp;J7&amp;"-"&amp;K7</f>
        <v>3-3-3</v>
      </c>
      <c r="M7" s="2" t="n">
        <f aca="false">MAX(I7:K7)</f>
        <v>3</v>
      </c>
      <c r="N7" s="2" t="str">
        <f aca="false">IF(M7&gt;=5,"Critical",IF(M7=4,"High",IF(M7=3,"Medium","Low")))</f>
        <v>Medium</v>
      </c>
      <c r="O7" s="2" t="s">
        <v>59</v>
      </c>
      <c r="P7" s="2" t="s">
        <v>60</v>
      </c>
    </row>
    <row r="8" customFormat="false" ht="23.85" hidden="false" customHeight="false" outlineLevel="0" collapsed="false">
      <c r="A8" s="2" t="s">
        <v>61</v>
      </c>
      <c r="B8" s="2" t="s">
        <v>62</v>
      </c>
      <c r="C8" s="2" t="s">
        <v>63</v>
      </c>
      <c r="D8" s="2" t="s">
        <v>49</v>
      </c>
      <c r="E8" s="2" t="s">
        <v>49</v>
      </c>
      <c r="F8" s="2" t="s">
        <v>64</v>
      </c>
      <c r="G8" s="2" t="s">
        <v>31</v>
      </c>
      <c r="H8" s="2" t="s">
        <v>65</v>
      </c>
      <c r="I8" s="2" t="n">
        <v>4</v>
      </c>
      <c r="J8" s="2" t="n">
        <v>4</v>
      </c>
      <c r="K8" s="2" t="n">
        <v>4</v>
      </c>
      <c r="L8" s="2" t="str">
        <f aca="false">I8&amp;"-"&amp;J8&amp;"-"&amp;K8</f>
        <v>4-4-4</v>
      </c>
      <c r="M8" s="2" t="n">
        <f aca="false">MAX(I8:K8)</f>
        <v>4</v>
      </c>
      <c r="N8" s="2" t="str">
        <f aca="false">IF(M8&gt;=5,"Critical",IF(M8=4,"High",IF(M8=3,"Medium","Low")))</f>
        <v>High</v>
      </c>
      <c r="O8" s="2" t="s">
        <v>66</v>
      </c>
      <c r="P8" s="2" t="s">
        <v>39</v>
      </c>
    </row>
    <row r="9" customFormat="false" ht="15" hidden="false" customHeight="false" outlineLevel="0" collapsed="false">
      <c r="A9" s="2" t="s">
        <v>67</v>
      </c>
      <c r="B9" s="2" t="s">
        <v>68</v>
      </c>
      <c r="C9" s="2" t="s">
        <v>69</v>
      </c>
      <c r="D9" s="2" t="s">
        <v>49</v>
      </c>
      <c r="E9" s="2" t="s">
        <v>49</v>
      </c>
      <c r="F9" s="2" t="s">
        <v>64</v>
      </c>
      <c r="G9" s="2" t="s">
        <v>31</v>
      </c>
      <c r="H9" s="2" t="s">
        <v>70</v>
      </c>
      <c r="I9" s="2" t="n">
        <v>3</v>
      </c>
      <c r="J9" s="2" t="n">
        <v>5</v>
      </c>
      <c r="K9" s="2" t="n">
        <v>5</v>
      </c>
      <c r="L9" s="2" t="str">
        <f aca="false">I9&amp;"-"&amp;J9&amp;"-"&amp;K9</f>
        <v>3-5-5</v>
      </c>
      <c r="M9" s="2" t="n">
        <f aca="false">MAX(I9:K9)</f>
        <v>5</v>
      </c>
      <c r="N9" s="2" t="str">
        <f aca="false">IF(M9&gt;=5,"Critical",IF(M9=4,"High",IF(M9=3,"Medium","Low")))</f>
        <v>Critical</v>
      </c>
      <c r="O9" s="2" t="s">
        <v>66</v>
      </c>
      <c r="P9" s="2" t="s">
        <v>39</v>
      </c>
    </row>
    <row r="10" customFormat="false" ht="15" hidden="false" customHeight="false" outlineLevel="0" collapsed="false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49</v>
      </c>
      <c r="F10" s="2" t="s">
        <v>30</v>
      </c>
      <c r="G10" s="2" t="s">
        <v>75</v>
      </c>
      <c r="H10" s="2" t="s">
        <v>76</v>
      </c>
      <c r="I10" s="2" t="n">
        <v>2</v>
      </c>
      <c r="J10" s="2" t="n">
        <v>4</v>
      </c>
      <c r="K10" s="2" t="n">
        <v>4</v>
      </c>
      <c r="L10" s="2" t="str">
        <f aca="false">I10&amp;"-"&amp;J10&amp;"-"&amp;K10</f>
        <v>2-4-4</v>
      </c>
      <c r="M10" s="2" t="n">
        <f aca="false">MAX(I10:K10)</f>
        <v>4</v>
      </c>
      <c r="N10" s="2" t="str">
        <f aca="false">IF(M10&gt;=5,"Critical",IF(M10=4,"High",IF(M10=3,"Medium","Low")))</f>
        <v>High</v>
      </c>
      <c r="O10" s="2" t="s">
        <v>24</v>
      </c>
      <c r="P10" s="2" t="s">
        <v>77</v>
      </c>
    </row>
    <row r="11" customFormat="false" ht="15" hidden="false" customHeight="false" outlineLevel="0" collapsed="false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81</v>
      </c>
      <c r="F11" s="2" t="s">
        <v>50</v>
      </c>
      <c r="G11" s="2" t="s">
        <v>31</v>
      </c>
      <c r="H11" s="2" t="s">
        <v>82</v>
      </c>
      <c r="I11" s="2" t="n">
        <v>4</v>
      </c>
      <c r="J11" s="2" t="n">
        <v>3</v>
      </c>
      <c r="K11" s="2" t="n">
        <v>3</v>
      </c>
      <c r="L11" s="2" t="str">
        <f aca="false">I11&amp;"-"&amp;J11&amp;"-"&amp;K11</f>
        <v>4-3-3</v>
      </c>
      <c r="M11" s="2" t="n">
        <f aca="false">MAX(I11:K11)</f>
        <v>4</v>
      </c>
      <c r="N11" s="2" t="str">
        <f aca="false">IF(M11&gt;=5,"Critical",IF(M11=4,"High",IF(M11=3,"Medium","Low")))</f>
        <v>High</v>
      </c>
      <c r="O11" s="2" t="s">
        <v>83</v>
      </c>
      <c r="P11" s="2" t="s">
        <v>84</v>
      </c>
    </row>
    <row r="12" customFormat="false" ht="15" hidden="false" customHeight="false" outlineLevel="0" collapsed="false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88</v>
      </c>
      <c r="F12" s="2" t="s">
        <v>50</v>
      </c>
      <c r="G12" s="2" t="s">
        <v>31</v>
      </c>
      <c r="H12" s="2" t="s">
        <v>89</v>
      </c>
      <c r="I12" s="2" t="n">
        <v>4</v>
      </c>
      <c r="J12" s="2" t="n">
        <v>4</v>
      </c>
      <c r="K12" s="2" t="n">
        <v>3</v>
      </c>
      <c r="L12" s="2" t="str">
        <f aca="false">I12&amp;"-"&amp;J12&amp;"-"&amp;K12</f>
        <v>4-4-3</v>
      </c>
      <c r="M12" s="2" t="n">
        <f aca="false">MAX(I12:K12)</f>
        <v>4</v>
      </c>
      <c r="N12" s="2" t="str">
        <f aca="false">IF(M12&gt;=5,"Critical",IF(M12=4,"High",IF(M12=3,"Medium","Low")))</f>
        <v>High</v>
      </c>
      <c r="O12" s="2" t="s">
        <v>90</v>
      </c>
      <c r="P12" s="2" t="s">
        <v>91</v>
      </c>
    </row>
    <row r="13" customFormat="false" ht="15" hidden="false" customHeight="false" outlineLevel="0" collapsed="false">
      <c r="A13" s="2" t="s">
        <v>92</v>
      </c>
      <c r="B13" s="2" t="s">
        <v>93</v>
      </c>
      <c r="C13" s="2" t="s">
        <v>94</v>
      </c>
      <c r="D13" s="2" t="s">
        <v>95</v>
      </c>
      <c r="E13" s="2" t="s">
        <v>95</v>
      </c>
      <c r="F13" s="2" t="s">
        <v>21</v>
      </c>
      <c r="G13" s="2" t="s">
        <v>22</v>
      </c>
      <c r="H13" s="2" t="s">
        <v>96</v>
      </c>
      <c r="I13" s="2" t="n">
        <v>5</v>
      </c>
      <c r="J13" s="2" t="n">
        <v>5</v>
      </c>
      <c r="K13" s="2" t="n">
        <v>3</v>
      </c>
      <c r="L13" s="2" t="str">
        <f aca="false">I13&amp;"-"&amp;J13&amp;"-"&amp;K13</f>
        <v>5-5-3</v>
      </c>
      <c r="M13" s="2" t="n">
        <f aca="false">MAX(I13:K13)</f>
        <v>5</v>
      </c>
      <c r="N13" s="2" t="str">
        <f aca="false">IF(M13&gt;=5,"Critical",IF(M13=4,"High",IF(M13=3,"Medium","Low")))</f>
        <v>Critical</v>
      </c>
      <c r="O13" s="2" t="s">
        <v>24</v>
      </c>
      <c r="P13" s="2" t="s">
        <v>97</v>
      </c>
    </row>
    <row r="14" customFormat="false" ht="23.85" hidden="false" customHeight="false" outlineLevel="0" collapsed="false">
      <c r="A14" s="2" t="s">
        <v>98</v>
      </c>
      <c r="B14" s="2" t="s">
        <v>99</v>
      </c>
      <c r="C14" s="2" t="s">
        <v>100</v>
      </c>
      <c r="D14" s="2" t="s">
        <v>20</v>
      </c>
      <c r="E14" s="2" t="s">
        <v>20</v>
      </c>
      <c r="F14" s="2" t="s">
        <v>101</v>
      </c>
      <c r="G14" s="2" t="s">
        <v>22</v>
      </c>
      <c r="H14" s="2" t="s">
        <v>102</v>
      </c>
      <c r="I14" s="2" t="n">
        <v>5</v>
      </c>
      <c r="J14" s="2" t="n">
        <v>5</v>
      </c>
      <c r="K14" s="2" t="n">
        <v>4</v>
      </c>
      <c r="L14" s="2" t="str">
        <f aca="false">I14&amp;"-"&amp;J14&amp;"-"&amp;K14</f>
        <v>5-5-4</v>
      </c>
      <c r="M14" s="2" t="n">
        <f aca="false">MAX(I14:K14)</f>
        <v>5</v>
      </c>
      <c r="N14" s="2" t="str">
        <f aca="false">IF(M14&gt;=5,"Critical",IF(M14=4,"High",IF(M14=3,"Medium","Low")))</f>
        <v>Critical</v>
      </c>
      <c r="O14" s="2" t="s">
        <v>103</v>
      </c>
      <c r="P14" s="2" t="s">
        <v>104</v>
      </c>
    </row>
    <row r="15" customFormat="false" ht="23.85" hidden="false" customHeight="false" outlineLevel="0" collapsed="false">
      <c r="A15" s="2" t="s">
        <v>105</v>
      </c>
      <c r="B15" s="2" t="s">
        <v>106</v>
      </c>
      <c r="C15" s="2" t="s">
        <v>107</v>
      </c>
      <c r="D15" s="2" t="s">
        <v>29</v>
      </c>
      <c r="E15" s="2" t="s">
        <v>29</v>
      </c>
      <c r="F15" s="2" t="s">
        <v>21</v>
      </c>
      <c r="G15" s="2" t="s">
        <v>31</v>
      </c>
      <c r="H15" s="2" t="s">
        <v>44</v>
      </c>
      <c r="I15" s="2" t="n">
        <v>4</v>
      </c>
      <c r="J15" s="2" t="n">
        <v>5</v>
      </c>
      <c r="K15" s="2" t="n">
        <v>3</v>
      </c>
      <c r="L15" s="2" t="str">
        <f aca="false">I15&amp;"-"&amp;J15&amp;"-"&amp;K15</f>
        <v>4-5-3</v>
      </c>
      <c r="M15" s="2" t="n">
        <f aca="false">MAX(I15:K15)</f>
        <v>5</v>
      </c>
      <c r="N15" s="2" t="str">
        <f aca="false">IF(M15&gt;=5,"Critical",IF(M15=4,"High",IF(M15=3,"Medium","Low")))</f>
        <v>Critical</v>
      </c>
      <c r="O15" s="2" t="s">
        <v>24</v>
      </c>
      <c r="P15" s="2" t="s">
        <v>45</v>
      </c>
    </row>
    <row r="16" customFormat="false" ht="15" hidden="false" customHeight="false" outlineLevel="0" collapsed="false">
      <c r="A16" s="2" t="s">
        <v>108</v>
      </c>
      <c r="B16" s="2" t="s">
        <v>109</v>
      </c>
      <c r="C16" s="2" t="s">
        <v>110</v>
      </c>
      <c r="D16" s="2" t="s">
        <v>88</v>
      </c>
      <c r="E16" s="2" t="s">
        <v>49</v>
      </c>
      <c r="F16" s="2" t="s">
        <v>21</v>
      </c>
      <c r="G16" s="2" t="s">
        <v>57</v>
      </c>
      <c r="H16" s="2" t="s">
        <v>111</v>
      </c>
      <c r="I16" s="2" t="n">
        <v>2</v>
      </c>
      <c r="J16" s="2" t="n">
        <v>3</v>
      </c>
      <c r="K16" s="2" t="n">
        <v>2</v>
      </c>
      <c r="L16" s="2" t="str">
        <f aca="false">I16&amp;"-"&amp;J16&amp;"-"&amp;K16</f>
        <v>2-3-2</v>
      </c>
      <c r="M16" s="2" t="n">
        <f aca="false">MAX(I16:K16)</f>
        <v>3</v>
      </c>
      <c r="N16" s="2" t="str">
        <f aca="false">IF(M16&gt;=5,"Critical",IF(M16=4,"High",IF(M16=3,"Medium","Low")))</f>
        <v>Medium</v>
      </c>
      <c r="O16" s="2" t="s">
        <v>24</v>
      </c>
      <c r="P16" s="2" t="s">
        <v>112</v>
      </c>
    </row>
    <row r="17" customFormat="false" ht="15" hidden="false" customHeight="false" outlineLevel="0" collapsed="false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20</v>
      </c>
      <c r="F17" s="2" t="s">
        <v>21</v>
      </c>
      <c r="G17" s="2" t="s">
        <v>22</v>
      </c>
      <c r="H17" s="2" t="s">
        <v>117</v>
      </c>
      <c r="I17" s="2" t="n">
        <v>4</v>
      </c>
      <c r="J17" s="2" t="n">
        <v>5</v>
      </c>
      <c r="K17" s="2" t="n">
        <v>3</v>
      </c>
      <c r="L17" s="2" t="str">
        <f aca="false">I17&amp;"-"&amp;J17&amp;"-"&amp;K17</f>
        <v>4-5-3</v>
      </c>
      <c r="M17" s="2" t="n">
        <f aca="false">MAX(I17:K17)</f>
        <v>5</v>
      </c>
      <c r="N17" s="2" t="str">
        <f aca="false">IF(M17&gt;=5,"Critical",IF(M17=4,"High",IF(M17=3,"Medium","Low")))</f>
        <v>Critical</v>
      </c>
      <c r="O17" s="2" t="s">
        <v>24</v>
      </c>
      <c r="P17" s="2" t="s">
        <v>118</v>
      </c>
    </row>
    <row r="18" customFormat="false" ht="23.85" hidden="false" customHeight="false" outlineLevel="0" collapsed="false">
      <c r="A18" s="2" t="s">
        <v>119</v>
      </c>
      <c r="B18" s="2" t="s">
        <v>120</v>
      </c>
      <c r="C18" s="2" t="s">
        <v>121</v>
      </c>
      <c r="D18" s="2" t="s">
        <v>20</v>
      </c>
      <c r="E18" s="2" t="s">
        <v>20</v>
      </c>
      <c r="F18" s="2" t="s">
        <v>122</v>
      </c>
      <c r="G18" s="2" t="s">
        <v>22</v>
      </c>
      <c r="H18" s="2" t="s">
        <v>123</v>
      </c>
      <c r="I18" s="2" t="n">
        <v>5</v>
      </c>
      <c r="J18" s="2" t="n">
        <v>5</v>
      </c>
      <c r="K18" s="2" t="n">
        <v>4</v>
      </c>
      <c r="L18" s="2" t="str">
        <f aca="false">I18&amp;"-"&amp;J18&amp;"-"&amp;K18</f>
        <v>5-5-4</v>
      </c>
      <c r="M18" s="2" t="n">
        <f aca="false">MAX(I18:K18)</f>
        <v>5</v>
      </c>
      <c r="N18" s="2" t="str">
        <f aca="false">IF(M18&gt;=5,"Critical",IF(M18=4,"High",IF(M18=3,"Medium","Low")))</f>
        <v>Critical</v>
      </c>
      <c r="O18" s="2" t="s">
        <v>124</v>
      </c>
      <c r="P18" s="2" t="s">
        <v>125</v>
      </c>
    </row>
    <row r="19" customFormat="false" ht="15" hidden="false" customHeight="false" outlineLevel="0" collapsed="false">
      <c r="A19" s="2" t="s">
        <v>126</v>
      </c>
      <c r="B19" s="2" t="s">
        <v>127</v>
      </c>
      <c r="C19" s="2" t="s">
        <v>128</v>
      </c>
      <c r="D19" s="2" t="s">
        <v>129</v>
      </c>
      <c r="E19" s="2" t="s">
        <v>129</v>
      </c>
      <c r="F19" s="2" t="s">
        <v>50</v>
      </c>
      <c r="G19" s="2" t="s">
        <v>31</v>
      </c>
      <c r="H19" s="2" t="s">
        <v>130</v>
      </c>
      <c r="I19" s="2" t="n">
        <v>4</v>
      </c>
      <c r="J19" s="2" t="n">
        <v>3</v>
      </c>
      <c r="K19" s="2" t="n">
        <v>4</v>
      </c>
      <c r="L19" s="2" t="str">
        <f aca="false">I19&amp;"-"&amp;J19&amp;"-"&amp;K19</f>
        <v>4-3-4</v>
      </c>
      <c r="M19" s="2" t="n">
        <f aca="false">MAX(I19:K19)</f>
        <v>4</v>
      </c>
      <c r="N19" s="2" t="str">
        <f aca="false">IF(M19&gt;=5,"Critical",IF(M19=4,"High",IF(M19=3,"Medium","Low")))</f>
        <v>High</v>
      </c>
      <c r="O19" s="2" t="s">
        <v>90</v>
      </c>
      <c r="P19" s="2" t="s">
        <v>131</v>
      </c>
    </row>
    <row r="20" customFormat="false" ht="15" hidden="false" customHeight="false" outlineLevel="0" collapsed="false">
      <c r="A20" s="2" t="s">
        <v>132</v>
      </c>
      <c r="B20" s="2" t="s">
        <v>133</v>
      </c>
      <c r="C20" s="2" t="s">
        <v>134</v>
      </c>
      <c r="D20" s="2" t="s">
        <v>116</v>
      </c>
      <c r="E20" s="2" t="s">
        <v>116</v>
      </c>
      <c r="F20" s="2" t="s">
        <v>135</v>
      </c>
      <c r="G20" s="2" t="s">
        <v>57</v>
      </c>
      <c r="H20" s="2" t="s">
        <v>136</v>
      </c>
      <c r="I20" s="2" t="n">
        <v>2</v>
      </c>
      <c r="J20" s="2" t="n">
        <v>3</v>
      </c>
      <c r="K20" s="2" t="n">
        <v>2</v>
      </c>
      <c r="L20" s="2" t="str">
        <f aca="false">I20&amp;"-"&amp;J20&amp;"-"&amp;K20</f>
        <v>2-3-2</v>
      </c>
      <c r="M20" s="2" t="n">
        <f aca="false">MAX(I20:K20)</f>
        <v>3</v>
      </c>
      <c r="N20" s="2" t="str">
        <f aca="false">IF(M20&gt;=5,"Critical",IF(M20=4,"High",IF(M20=3,"Medium","Low")))</f>
        <v>Medium</v>
      </c>
      <c r="O20" s="2" t="s">
        <v>24</v>
      </c>
      <c r="P20" s="2" t="s">
        <v>137</v>
      </c>
    </row>
    <row r="21" customFormat="false" ht="23.85" hidden="false" customHeight="false" outlineLevel="0" collapsed="false">
      <c r="A21" s="2" t="s">
        <v>138</v>
      </c>
      <c r="B21" s="2" t="s">
        <v>139</v>
      </c>
      <c r="C21" s="2" t="s">
        <v>140</v>
      </c>
      <c r="D21" s="2" t="s">
        <v>141</v>
      </c>
      <c r="E21" s="2" t="s">
        <v>141</v>
      </c>
      <c r="F21" s="2" t="s">
        <v>135</v>
      </c>
      <c r="G21" s="2" t="s">
        <v>31</v>
      </c>
      <c r="H21" s="2" t="s">
        <v>142</v>
      </c>
      <c r="I21" s="2" t="n">
        <v>4</v>
      </c>
      <c r="J21" s="2" t="n">
        <v>4</v>
      </c>
      <c r="K21" s="2" t="n">
        <v>2</v>
      </c>
      <c r="L21" s="2" t="str">
        <f aca="false">I21&amp;"-"&amp;J21&amp;"-"&amp;K21</f>
        <v>4-4-2</v>
      </c>
      <c r="M21" s="2" t="n">
        <f aca="false">MAX(I21:K21)</f>
        <v>4</v>
      </c>
      <c r="N21" s="2" t="str">
        <f aca="false">IF(M21&gt;=5,"Critical",IF(M21=4,"High",IF(M21=3,"Medium","Low")))</f>
        <v>High</v>
      </c>
      <c r="O21" s="2" t="s">
        <v>24</v>
      </c>
      <c r="P21" s="2" t="s">
        <v>143</v>
      </c>
    </row>
  </sheetData>
  <autoFilter ref="A1:P21"/>
  <conditionalFormatting sqref="N2:N21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"Medium"</formula>
    </cfRule>
    <cfRule type="cellIs" priority="5" operator="equal" aboveAverage="0" equalAverage="0" bottom="0" percent="0" rank="0" text="" dxfId="10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8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146</v>
      </c>
      <c r="I2" s="2" t="s">
        <v>151</v>
      </c>
      <c r="J2" s="2" t="s">
        <v>148</v>
      </c>
      <c r="K2" s="2" t="s">
        <v>152</v>
      </c>
      <c r="L2" s="2" t="s">
        <v>153</v>
      </c>
      <c r="M2" s="2" t="s">
        <v>148</v>
      </c>
      <c r="N2" s="2" t="s">
        <v>151</v>
      </c>
      <c r="O2" s="2" t="s">
        <v>154</v>
      </c>
      <c r="P2" s="2" t="s">
        <v>155</v>
      </c>
      <c r="Q2" s="2" t="s">
        <v>156</v>
      </c>
      <c r="R2" s="2" t="s">
        <v>155</v>
      </c>
      <c r="S2" s="2" t="s">
        <v>9</v>
      </c>
      <c r="T2" s="2" t="s">
        <v>146</v>
      </c>
      <c r="U2" s="2" t="s">
        <v>151</v>
      </c>
      <c r="V2" s="2" t="s">
        <v>150</v>
      </c>
      <c r="W2" s="2" t="s">
        <v>157</v>
      </c>
      <c r="X2" s="2" t="s">
        <v>158</v>
      </c>
      <c r="Y2" s="2" t="s">
        <v>148</v>
      </c>
      <c r="Z2" s="2" t="s">
        <v>151</v>
      </c>
      <c r="AA2" s="2" t="s">
        <v>154</v>
      </c>
      <c r="AB2" s="2" t="s">
        <v>155</v>
      </c>
      <c r="AC2" s="2" t="s">
        <v>156</v>
      </c>
      <c r="AD2" s="2" t="s">
        <v>155</v>
      </c>
      <c r="AE2" s="2" t="s">
        <v>10</v>
      </c>
      <c r="AF2" s="2" t="s">
        <v>159</v>
      </c>
      <c r="AG2" s="2" t="s">
        <v>152</v>
      </c>
      <c r="AH2" s="2" t="s">
        <v>148</v>
      </c>
      <c r="AI2" s="2" t="s">
        <v>153</v>
      </c>
      <c r="AJ2" s="2" t="s">
        <v>152</v>
      </c>
      <c r="AK2" s="2" t="s">
        <v>160</v>
      </c>
      <c r="AL2" s="2" t="s">
        <v>148</v>
      </c>
      <c r="AM2" s="2" t="s">
        <v>153</v>
      </c>
      <c r="AN2" s="2" t="s">
        <v>148</v>
      </c>
      <c r="AO2" s="2" t="s">
        <v>151</v>
      </c>
      <c r="AP2" s="2" t="s">
        <v>154</v>
      </c>
      <c r="AQ2" s="2" t="s">
        <v>155</v>
      </c>
      <c r="AR2" s="2" t="s">
        <v>158</v>
      </c>
      <c r="AS2" s="2" t="s">
        <v>152</v>
      </c>
      <c r="AT2" s="2" t="s">
        <v>151</v>
      </c>
      <c r="AU2" s="2" t="s">
        <v>150</v>
      </c>
      <c r="AV2" s="2" t="s">
        <v>149</v>
      </c>
      <c r="AW2" s="2" t="s">
        <v>155</v>
      </c>
      <c r="AX2" s="2" t="s">
        <v>161</v>
      </c>
      <c r="AY2" s="2" t="s">
        <v>162</v>
      </c>
      <c r="AZ2" s="2" t="s">
        <v>163</v>
      </c>
      <c r="BA2" s="2" t="s">
        <v>164</v>
      </c>
      <c r="BB2" s="2" t="s">
        <v>155</v>
      </c>
      <c r="BC2" s="2" t="s">
        <v>8</v>
      </c>
      <c r="BD2" s="2" t="s">
        <v>158</v>
      </c>
      <c r="BE2" s="2" t="s">
        <v>148</v>
      </c>
      <c r="BF2" s="2" t="s">
        <v>151</v>
      </c>
      <c r="BG2" s="2" t="s">
        <v>148</v>
      </c>
      <c r="BH2" s="2" t="s">
        <v>165</v>
      </c>
      <c r="BI2" s="2" t="s">
        <v>152</v>
      </c>
      <c r="BJ2" s="2" t="s">
        <v>153</v>
      </c>
      <c r="BK2" s="2" t="s">
        <v>148</v>
      </c>
      <c r="BL2" s="2" t="s">
        <v>151</v>
      </c>
      <c r="BM2" s="2" t="s">
        <v>154</v>
      </c>
      <c r="BN2" s="2" t="s">
        <v>155</v>
      </c>
      <c r="BO2" s="2" t="s">
        <v>166</v>
      </c>
      <c r="BP2" s="2" t="s">
        <v>155</v>
      </c>
      <c r="BQ2" s="2" t="s">
        <v>167</v>
      </c>
      <c r="BR2" s="2" t="s">
        <v>10</v>
      </c>
      <c r="BS2" s="2" t="s">
        <v>168</v>
      </c>
      <c r="BT2" s="2" t="s">
        <v>169</v>
      </c>
      <c r="BU2" s="2" t="s">
        <v>8</v>
      </c>
      <c r="BV2" s="2" t="s">
        <v>170</v>
      </c>
      <c r="BW2" s="2" t="s">
        <v>9</v>
      </c>
      <c r="BX2" s="2" t="s">
        <v>170</v>
      </c>
      <c r="BY2" s="2" t="s">
        <v>10</v>
      </c>
      <c r="BZ2" s="2" t="s">
        <v>171</v>
      </c>
      <c r="CA2" s="2" t="s">
        <v>170</v>
      </c>
      <c r="CB2" s="2" t="s">
        <v>155</v>
      </c>
      <c r="CC2" s="2" t="s">
        <v>165</v>
      </c>
      <c r="CD2" s="2" t="s">
        <v>152</v>
      </c>
      <c r="CE2" s="2" t="s">
        <v>153</v>
      </c>
      <c r="CF2" s="2" t="s">
        <v>165</v>
      </c>
      <c r="CG2" s="2" t="s">
        <v>172</v>
      </c>
      <c r="CH2" s="2" t="s">
        <v>153</v>
      </c>
      <c r="CI2" s="2" t="s">
        <v>152</v>
      </c>
      <c r="CJ2" s="2" t="s">
        <v>151</v>
      </c>
      <c r="CK2" s="2" t="s">
        <v>150</v>
      </c>
      <c r="CL2" s="2" t="s">
        <v>149</v>
      </c>
      <c r="CM2" s="2" t="s">
        <v>155</v>
      </c>
      <c r="CN2" s="2" t="s">
        <v>160</v>
      </c>
      <c r="CO2" s="2" t="s">
        <v>154</v>
      </c>
      <c r="CP2" s="2" t="s">
        <v>155</v>
      </c>
      <c r="CQ2" s="2" t="s">
        <v>147</v>
      </c>
      <c r="CR2" s="2" t="s">
        <v>145</v>
      </c>
      <c r="CS2" s="2" t="s">
        <v>158</v>
      </c>
      <c r="CT2" s="2" t="s">
        <v>173</v>
      </c>
      <c r="CU2" s="2" t="s">
        <v>172</v>
      </c>
      <c r="CV2" s="2" t="s">
        <v>153</v>
      </c>
      <c r="CW2" s="2" t="s">
        <v>152</v>
      </c>
      <c r="CX2" s="2" t="s">
        <v>164</v>
      </c>
    </row>
    <row r="3" customFormat="false" ht="15" hidden="false" customHeight="false" outlineLevel="0" collapsed="false">
      <c r="A3" s="2" t="s">
        <v>8</v>
      </c>
      <c r="B3" s="2" t="s">
        <v>156</v>
      </c>
      <c r="C3" s="2" t="s">
        <v>9</v>
      </c>
      <c r="D3" s="2" t="s">
        <v>156</v>
      </c>
      <c r="E3" s="2" t="s">
        <v>10</v>
      </c>
      <c r="F3" s="2" t="s">
        <v>155</v>
      </c>
      <c r="G3" s="2" t="s">
        <v>158</v>
      </c>
      <c r="H3" s="2" t="s">
        <v>152</v>
      </c>
      <c r="I3" s="2" t="s">
        <v>151</v>
      </c>
      <c r="J3" s="2" t="s">
        <v>148</v>
      </c>
      <c r="K3" s="2" t="s">
        <v>146</v>
      </c>
      <c r="L3" s="2" t="s">
        <v>157</v>
      </c>
      <c r="M3" s="2" t="s">
        <v>174</v>
      </c>
      <c r="N3" s="2" t="s">
        <v>155</v>
      </c>
      <c r="O3" s="2" t="s">
        <v>147</v>
      </c>
      <c r="P3" s="2" t="s">
        <v>145</v>
      </c>
      <c r="Q3" s="2" t="s">
        <v>158</v>
      </c>
      <c r="R3" s="2" t="s">
        <v>155</v>
      </c>
      <c r="S3" s="2" t="s">
        <v>8</v>
      </c>
      <c r="T3" s="2" t="s">
        <v>172</v>
      </c>
      <c r="U3" s="2" t="s">
        <v>174</v>
      </c>
      <c r="V3" s="2" t="s">
        <v>151</v>
      </c>
      <c r="W3" s="2" t="s">
        <v>145</v>
      </c>
      <c r="X3" s="2" t="s">
        <v>173</v>
      </c>
      <c r="Y3" s="2" t="s">
        <v>150</v>
      </c>
      <c r="Z3" s="2" t="s">
        <v>158</v>
      </c>
      <c r="AA3" s="2" t="s">
        <v>155</v>
      </c>
      <c r="AB3" s="2" t="s">
        <v>175</v>
      </c>
      <c r="AC3" s="2" t="s">
        <v>176</v>
      </c>
      <c r="AD3" s="2" t="s">
        <v>170</v>
      </c>
      <c r="AE3" s="2" t="s">
        <v>155</v>
      </c>
      <c r="AF3" s="2" t="s">
        <v>177</v>
      </c>
      <c r="AG3" s="2" t="s">
        <v>148</v>
      </c>
      <c r="AH3" s="2" t="s">
        <v>151</v>
      </c>
      <c r="AI3" s="2" t="s">
        <v>178</v>
      </c>
      <c r="AJ3" s="2" t="s">
        <v>172</v>
      </c>
      <c r="AK3" s="2" t="s">
        <v>160</v>
      </c>
      <c r="AL3" s="2" t="s">
        <v>170</v>
      </c>
      <c r="AM3" s="2" t="s">
        <v>155</v>
      </c>
      <c r="AN3" s="2" t="s">
        <v>179</v>
      </c>
      <c r="AO3" s="2" t="s">
        <v>152</v>
      </c>
      <c r="AP3" s="2" t="s">
        <v>180</v>
      </c>
      <c r="AQ3" s="2" t="s">
        <v>151</v>
      </c>
      <c r="AR3" s="2" t="s">
        <v>145</v>
      </c>
      <c r="AS3" s="2" t="s">
        <v>180</v>
      </c>
      <c r="AT3" s="2" t="s">
        <v>155</v>
      </c>
      <c r="AU3" s="2" t="s">
        <v>152</v>
      </c>
      <c r="AV3" s="2" t="s">
        <v>146</v>
      </c>
      <c r="AW3" s="2" t="s">
        <v>149</v>
      </c>
      <c r="AX3" s="2" t="s">
        <v>155</v>
      </c>
      <c r="AY3" s="2" t="s">
        <v>181</v>
      </c>
      <c r="AZ3" s="2" t="s">
        <v>150</v>
      </c>
      <c r="BA3" s="2" t="s">
        <v>160</v>
      </c>
      <c r="BB3" s="2" t="s">
        <v>174</v>
      </c>
      <c r="BC3" s="2" t="s">
        <v>148</v>
      </c>
      <c r="BD3" s="2" t="s">
        <v>151</v>
      </c>
      <c r="BE3" s="2" t="s">
        <v>150</v>
      </c>
      <c r="BF3" s="2" t="s">
        <v>155</v>
      </c>
      <c r="BG3" s="2" t="s">
        <v>165</v>
      </c>
      <c r="BH3" s="2" t="s">
        <v>145</v>
      </c>
      <c r="BI3" s="2" t="s">
        <v>173</v>
      </c>
      <c r="BJ3" s="2" t="s">
        <v>150</v>
      </c>
      <c r="BK3" s="2" t="s">
        <v>155</v>
      </c>
      <c r="BL3" s="2" t="s">
        <v>147</v>
      </c>
      <c r="BM3" s="2" t="s">
        <v>158</v>
      </c>
      <c r="BN3" s="2" t="s">
        <v>145</v>
      </c>
      <c r="BO3" s="2" t="s">
        <v>173</v>
      </c>
      <c r="BP3" s="2" t="s">
        <v>155</v>
      </c>
      <c r="BQ3" s="2" t="s">
        <v>151</v>
      </c>
      <c r="BR3" s="2" t="s">
        <v>182</v>
      </c>
      <c r="BS3" s="2" t="s">
        <v>150</v>
      </c>
      <c r="BT3" s="2" t="s">
        <v>155</v>
      </c>
      <c r="BU3" s="2" t="s">
        <v>180</v>
      </c>
      <c r="BV3" s="2" t="s">
        <v>158</v>
      </c>
      <c r="BW3" s="2" t="s">
        <v>145</v>
      </c>
      <c r="BX3" s="2" t="s">
        <v>183</v>
      </c>
      <c r="BY3" s="2" t="s">
        <v>150</v>
      </c>
      <c r="BZ3" s="2" t="s">
        <v>165</v>
      </c>
      <c r="CA3" s="2" t="s">
        <v>151</v>
      </c>
      <c r="CB3" s="2" t="s">
        <v>155</v>
      </c>
      <c r="CC3" s="2" t="s">
        <v>160</v>
      </c>
      <c r="CD3" s="2" t="s">
        <v>158</v>
      </c>
      <c r="CE3" s="2" t="s">
        <v>148</v>
      </c>
      <c r="CF3" s="2" t="s">
        <v>150</v>
      </c>
      <c r="CG3" s="2" t="s">
        <v>147</v>
      </c>
      <c r="CH3" s="2" t="s">
        <v>184</v>
      </c>
      <c r="CI3" s="2" t="s">
        <v>155</v>
      </c>
      <c r="CJ3" s="2" t="s">
        <v>151</v>
      </c>
      <c r="CK3" s="2" t="s">
        <v>182</v>
      </c>
      <c r="CL3" s="2" t="s">
        <v>150</v>
      </c>
      <c r="CM3" s="2" t="s">
        <v>155</v>
      </c>
      <c r="CN3" s="2" t="s">
        <v>158</v>
      </c>
      <c r="CO3" s="2" t="s">
        <v>150</v>
      </c>
      <c r="CP3" s="2" t="s">
        <v>174</v>
      </c>
      <c r="CQ3" s="2" t="s">
        <v>151</v>
      </c>
      <c r="CR3" s="2" t="s">
        <v>155</v>
      </c>
      <c r="CS3" s="2" t="s">
        <v>152</v>
      </c>
      <c r="CT3" s="2" t="s">
        <v>158</v>
      </c>
      <c r="CU3" s="2" t="s">
        <v>150</v>
      </c>
      <c r="CV3" s="2" t="s">
        <v>155</v>
      </c>
      <c r="CW3" s="2" t="s">
        <v>180</v>
      </c>
      <c r="CX3" s="2" t="s">
        <v>145</v>
      </c>
      <c r="CY3" s="2" t="s">
        <v>158</v>
      </c>
      <c r="CZ3" s="2" t="s">
        <v>151</v>
      </c>
      <c r="DA3" s="2" t="s">
        <v>147</v>
      </c>
      <c r="DB3" s="2" t="s">
        <v>145</v>
      </c>
      <c r="DC3" s="2" t="s">
        <v>153</v>
      </c>
      <c r="DD3" s="2" t="s">
        <v>148</v>
      </c>
      <c r="DE3" s="2" t="s">
        <v>145</v>
      </c>
      <c r="DF3" s="2" t="s">
        <v>155</v>
      </c>
      <c r="DG3" s="2" t="s">
        <v>152</v>
      </c>
      <c r="DH3" s="2" t="s">
        <v>174</v>
      </c>
      <c r="DI3" s="2" t="s">
        <v>174</v>
      </c>
      <c r="DJ3" s="2" t="s">
        <v>172</v>
      </c>
      <c r="DK3" s="2" t="s">
        <v>173</v>
      </c>
      <c r="DL3" s="2" t="s">
        <v>180</v>
      </c>
      <c r="DM3" s="2" t="s">
        <v>151</v>
      </c>
      <c r="DN3" s="2" t="s">
        <v>148</v>
      </c>
      <c r="DO3" s="2" t="s">
        <v>145</v>
      </c>
      <c r="DP3" s="2" t="s">
        <v>146</v>
      </c>
      <c r="DQ3" s="2" t="s">
        <v>174</v>
      </c>
      <c r="DR3" s="2" t="s">
        <v>164</v>
      </c>
    </row>
    <row r="4" customFormat="false" ht="15" hidden="false" customHeight="false" outlineLevel="0" collapsed="false">
      <c r="A4" s="2" t="s">
        <v>185</v>
      </c>
      <c r="B4" s="2" t="s">
        <v>150</v>
      </c>
      <c r="C4" s="2" t="s">
        <v>151</v>
      </c>
      <c r="D4" s="2" t="s">
        <v>150</v>
      </c>
      <c r="E4" s="2" t="s">
        <v>146</v>
      </c>
      <c r="F4" s="2" t="s">
        <v>151</v>
      </c>
      <c r="G4" s="2" t="s">
        <v>148</v>
      </c>
      <c r="H4" s="2" t="s">
        <v>145</v>
      </c>
      <c r="I4" s="2" t="s">
        <v>146</v>
      </c>
      <c r="J4" s="2" t="s">
        <v>155</v>
      </c>
      <c r="K4" s="2" t="s">
        <v>180</v>
      </c>
      <c r="L4" s="2" t="s">
        <v>150</v>
      </c>
      <c r="M4" s="2" t="s">
        <v>158</v>
      </c>
      <c r="N4" s="2" t="s">
        <v>148</v>
      </c>
      <c r="O4" s="2" t="s">
        <v>145</v>
      </c>
      <c r="P4" s="2" t="s">
        <v>149</v>
      </c>
      <c r="Q4" s="2" t="s">
        <v>174</v>
      </c>
      <c r="R4" s="2" t="s">
        <v>155</v>
      </c>
      <c r="S4" s="2" t="s">
        <v>152</v>
      </c>
      <c r="T4" s="2" t="s">
        <v>158</v>
      </c>
      <c r="U4" s="2" t="s">
        <v>150</v>
      </c>
      <c r="V4" s="2" t="s">
        <v>155</v>
      </c>
      <c r="W4" s="2" t="s">
        <v>180</v>
      </c>
      <c r="X4" s="2" t="s">
        <v>153</v>
      </c>
      <c r="Y4" s="2" t="s">
        <v>152</v>
      </c>
      <c r="Z4" s="2" t="s">
        <v>165</v>
      </c>
      <c r="AA4" s="2" t="s">
        <v>150</v>
      </c>
      <c r="AB4" s="2" t="s">
        <v>182</v>
      </c>
      <c r="AC4" s="2" t="s">
        <v>145</v>
      </c>
      <c r="AD4" s="2" t="s">
        <v>153</v>
      </c>
      <c r="AE4" s="2" t="s">
        <v>149</v>
      </c>
      <c r="AF4" s="2" t="s">
        <v>150</v>
      </c>
      <c r="AG4" s="2" t="s">
        <v>158</v>
      </c>
      <c r="AH4" s="2" t="s">
        <v>174</v>
      </c>
      <c r="AI4" s="2" t="s">
        <v>155</v>
      </c>
      <c r="AJ4" s="2" t="s">
        <v>180</v>
      </c>
      <c r="AK4" s="2" t="s">
        <v>150</v>
      </c>
      <c r="AL4" s="2" t="s">
        <v>146</v>
      </c>
      <c r="AM4" s="2" t="s">
        <v>149</v>
      </c>
      <c r="AN4" s="2" t="s">
        <v>148</v>
      </c>
      <c r="AO4" s="2" t="s">
        <v>146</v>
      </c>
      <c r="AP4" s="2" t="s">
        <v>157</v>
      </c>
      <c r="AQ4" s="2" t="s">
        <v>155</v>
      </c>
      <c r="AR4" s="2" t="s">
        <v>153</v>
      </c>
      <c r="AS4" s="2" t="s">
        <v>150</v>
      </c>
      <c r="AT4" s="2" t="s">
        <v>157</v>
      </c>
      <c r="AU4" s="2" t="s">
        <v>152</v>
      </c>
      <c r="AV4" s="2" t="s">
        <v>153</v>
      </c>
      <c r="AW4" s="2" t="s">
        <v>155</v>
      </c>
      <c r="AX4" s="2" t="s">
        <v>158</v>
      </c>
      <c r="AY4" s="2" t="s">
        <v>150</v>
      </c>
      <c r="AZ4" s="2" t="s">
        <v>159</v>
      </c>
      <c r="BA4" s="2" t="s">
        <v>148</v>
      </c>
      <c r="BB4" s="2" t="s">
        <v>150</v>
      </c>
      <c r="BC4" s="2" t="s">
        <v>186</v>
      </c>
      <c r="BD4" s="2" t="s">
        <v>164</v>
      </c>
    </row>
    <row r="5" customFormat="false" ht="15" hidden="false" customHeight="false" outlineLevel="0" collapsed="false">
      <c r="A5" s="2" t="s">
        <v>10</v>
      </c>
      <c r="B5" s="2" t="s">
        <v>187</v>
      </c>
      <c r="C5" s="2" t="s">
        <v>188</v>
      </c>
      <c r="D5" s="2" t="s">
        <v>162</v>
      </c>
      <c r="E5" s="2" t="s">
        <v>189</v>
      </c>
      <c r="F5" s="2" t="s">
        <v>189</v>
      </c>
      <c r="G5" s="2" t="s">
        <v>190</v>
      </c>
      <c r="H5" s="2" t="s">
        <v>155</v>
      </c>
      <c r="I5" s="2" t="s">
        <v>169</v>
      </c>
      <c r="J5" s="2" t="s">
        <v>177</v>
      </c>
      <c r="K5" s="2" t="s">
        <v>148</v>
      </c>
      <c r="L5" s="2" t="s">
        <v>151</v>
      </c>
      <c r="M5" s="2" t="s">
        <v>178</v>
      </c>
      <c r="N5" s="2" t="s">
        <v>172</v>
      </c>
      <c r="O5" s="2" t="s">
        <v>160</v>
      </c>
      <c r="P5" s="2" t="s">
        <v>155</v>
      </c>
      <c r="Q5" s="2" t="s">
        <v>185</v>
      </c>
      <c r="R5" s="2" t="s">
        <v>150</v>
      </c>
      <c r="S5" s="2" t="s">
        <v>180</v>
      </c>
      <c r="T5" s="2" t="s">
        <v>145</v>
      </c>
      <c r="U5" s="2" t="s">
        <v>174</v>
      </c>
      <c r="V5" s="2" t="s">
        <v>148</v>
      </c>
      <c r="W5" s="2" t="s">
        <v>151</v>
      </c>
      <c r="X5" s="2" t="s">
        <v>145</v>
      </c>
      <c r="Y5" s="2" t="s">
        <v>158</v>
      </c>
      <c r="Z5" s="2" t="s">
        <v>154</v>
      </c>
      <c r="AA5" s="2" t="s">
        <v>171</v>
      </c>
      <c r="AB5" s="2" t="s">
        <v>155</v>
      </c>
      <c r="AC5" s="2" t="s">
        <v>152</v>
      </c>
      <c r="AD5" s="2" t="s">
        <v>146</v>
      </c>
      <c r="AE5" s="2" t="s">
        <v>149</v>
      </c>
      <c r="AF5" s="2" t="s">
        <v>155</v>
      </c>
      <c r="AG5" s="2" t="s">
        <v>10</v>
      </c>
      <c r="AH5" s="2" t="s">
        <v>187</v>
      </c>
      <c r="AI5" s="2" t="s">
        <v>188</v>
      </c>
      <c r="AJ5" s="2" t="s">
        <v>162</v>
      </c>
      <c r="AK5" s="2" t="s">
        <v>189</v>
      </c>
      <c r="AL5" s="2" t="s">
        <v>161</v>
      </c>
      <c r="AM5" s="2" t="s">
        <v>190</v>
      </c>
      <c r="AN5" s="2" t="s">
        <v>155</v>
      </c>
      <c r="AO5" s="2" t="s">
        <v>169</v>
      </c>
      <c r="AP5" s="2" t="s">
        <v>187</v>
      </c>
      <c r="AQ5" s="2" t="s">
        <v>145</v>
      </c>
      <c r="AR5" s="2" t="s">
        <v>172</v>
      </c>
      <c r="AS5" s="2" t="s">
        <v>158</v>
      </c>
      <c r="AT5" s="2" t="s">
        <v>165</v>
      </c>
      <c r="AU5" s="2" t="s">
        <v>150</v>
      </c>
      <c r="AV5" s="2" t="s">
        <v>155</v>
      </c>
      <c r="AW5" s="2" t="s">
        <v>8</v>
      </c>
      <c r="AX5" s="2" t="s">
        <v>145</v>
      </c>
      <c r="AY5" s="2" t="s">
        <v>149</v>
      </c>
      <c r="AZ5" s="2" t="s">
        <v>150</v>
      </c>
      <c r="BA5" s="2" t="s">
        <v>155</v>
      </c>
      <c r="BB5" s="2" t="s">
        <v>185</v>
      </c>
      <c r="BC5" s="2" t="s">
        <v>150</v>
      </c>
      <c r="BD5" s="2" t="s">
        <v>180</v>
      </c>
      <c r="BE5" s="2" t="s">
        <v>145</v>
      </c>
      <c r="BF5" s="2" t="s">
        <v>174</v>
      </c>
      <c r="BG5" s="2" t="s">
        <v>148</v>
      </c>
      <c r="BH5" s="2" t="s">
        <v>151</v>
      </c>
      <c r="BI5" s="2" t="s">
        <v>145</v>
      </c>
      <c r="BJ5" s="2" t="s">
        <v>158</v>
      </c>
      <c r="BK5" s="2" t="s">
        <v>154</v>
      </c>
      <c r="BL5" s="2" t="s">
        <v>171</v>
      </c>
      <c r="BM5" s="2" t="s">
        <v>155</v>
      </c>
      <c r="BN5" s="2" t="s">
        <v>145</v>
      </c>
      <c r="BO5" s="2" t="s">
        <v>159</v>
      </c>
      <c r="BP5" s="2" t="s">
        <v>150</v>
      </c>
      <c r="BQ5" s="2" t="s">
        <v>158</v>
      </c>
      <c r="BR5" s="2" t="s">
        <v>153</v>
      </c>
      <c r="BS5" s="2" t="s">
        <v>152</v>
      </c>
      <c r="BT5" s="2" t="s">
        <v>180</v>
      </c>
      <c r="BU5" s="2" t="s">
        <v>164</v>
      </c>
      <c r="BV5" s="2" t="s">
        <v>155</v>
      </c>
      <c r="BW5" s="2" t="s">
        <v>191</v>
      </c>
      <c r="BX5" s="2" t="s">
        <v>150</v>
      </c>
      <c r="BY5" s="2" t="s">
        <v>180</v>
      </c>
      <c r="BZ5" s="2" t="s">
        <v>151</v>
      </c>
      <c r="CA5" s="2" t="s">
        <v>155</v>
      </c>
      <c r="CB5" s="2" t="s">
        <v>152</v>
      </c>
      <c r="CC5" s="2" t="s">
        <v>174</v>
      </c>
      <c r="CD5" s="2" t="s">
        <v>155</v>
      </c>
      <c r="CE5" s="2" t="s">
        <v>180</v>
      </c>
      <c r="CF5" s="2" t="s">
        <v>150</v>
      </c>
      <c r="CG5" s="2" t="s">
        <v>158</v>
      </c>
      <c r="CH5" s="2" t="s">
        <v>155</v>
      </c>
      <c r="CI5" s="2" t="s">
        <v>160</v>
      </c>
      <c r="CJ5" s="2" t="s">
        <v>158</v>
      </c>
      <c r="CK5" s="2" t="s">
        <v>148</v>
      </c>
      <c r="CL5" s="2" t="s">
        <v>150</v>
      </c>
      <c r="CM5" s="2" t="s">
        <v>147</v>
      </c>
      <c r="CN5" s="2" t="s">
        <v>192</v>
      </c>
      <c r="CO5" s="2" t="s">
        <v>155</v>
      </c>
      <c r="CP5" s="2" t="s">
        <v>10</v>
      </c>
      <c r="CQ5" s="2" t="s">
        <v>187</v>
      </c>
      <c r="CR5" s="2" t="s">
        <v>188</v>
      </c>
      <c r="CS5" s="2" t="s">
        <v>162</v>
      </c>
      <c r="CT5" s="2" t="s">
        <v>189</v>
      </c>
      <c r="CU5" s="2" t="s">
        <v>189</v>
      </c>
      <c r="CV5" s="2" t="s">
        <v>190</v>
      </c>
      <c r="CW5" s="2" t="s">
        <v>155</v>
      </c>
      <c r="CX5" s="2" t="s">
        <v>166</v>
      </c>
      <c r="CY5" s="2" t="s">
        <v>155</v>
      </c>
      <c r="CZ5" s="2" t="s">
        <v>180</v>
      </c>
      <c r="DA5" s="2" t="s">
        <v>153</v>
      </c>
      <c r="DB5" s="2" t="s">
        <v>152</v>
      </c>
      <c r="DC5" s="2" t="s">
        <v>151</v>
      </c>
      <c r="DD5" s="2" t="s">
        <v>147</v>
      </c>
      <c r="DE5" s="2" t="s">
        <v>145</v>
      </c>
      <c r="DF5" s="2" t="s">
        <v>158</v>
      </c>
      <c r="DG5" s="2" t="s">
        <v>173</v>
      </c>
      <c r="DH5" s="2" t="s">
        <v>170</v>
      </c>
      <c r="DI5" s="2" t="s">
        <v>155</v>
      </c>
      <c r="DJ5" s="2" t="s">
        <v>10</v>
      </c>
      <c r="DK5" s="2" t="s">
        <v>187</v>
      </c>
      <c r="DL5" s="2" t="s">
        <v>188</v>
      </c>
      <c r="DM5" s="2" t="s">
        <v>162</v>
      </c>
      <c r="DN5" s="2" t="s">
        <v>189</v>
      </c>
      <c r="DO5" s="2" t="s">
        <v>161</v>
      </c>
      <c r="DP5" s="2" t="s">
        <v>190</v>
      </c>
      <c r="DQ5" s="2" t="s">
        <v>155</v>
      </c>
      <c r="DR5" s="2" t="s">
        <v>166</v>
      </c>
      <c r="DS5" s="2" t="s">
        <v>155</v>
      </c>
      <c r="DT5" s="2" t="s">
        <v>165</v>
      </c>
      <c r="DU5" s="2" t="s">
        <v>145</v>
      </c>
      <c r="DV5" s="2" t="s">
        <v>149</v>
      </c>
      <c r="DW5" s="2" t="s">
        <v>150</v>
      </c>
      <c r="DX5" s="2" t="s">
        <v>155</v>
      </c>
      <c r="DY5" s="2" t="s">
        <v>152</v>
      </c>
      <c r="DZ5" s="2" t="s">
        <v>174</v>
      </c>
      <c r="EA5" s="2" t="s">
        <v>155</v>
      </c>
      <c r="EB5" s="2" t="s">
        <v>152</v>
      </c>
      <c r="EC5" s="2" t="s">
        <v>146</v>
      </c>
      <c r="ED5" s="2" t="s">
        <v>155</v>
      </c>
      <c r="EE5" s="2" t="s">
        <v>148</v>
      </c>
      <c r="EF5" s="2" t="s">
        <v>146</v>
      </c>
      <c r="EG5" s="2" t="s">
        <v>147</v>
      </c>
      <c r="EH5" s="2" t="s">
        <v>145</v>
      </c>
      <c r="EI5" s="2" t="s">
        <v>158</v>
      </c>
      <c r="EJ5" s="2" t="s">
        <v>173</v>
      </c>
      <c r="EK5" s="2" t="s">
        <v>152</v>
      </c>
      <c r="EL5" s="2" t="s">
        <v>151</v>
      </c>
      <c r="EM5" s="2" t="s">
        <v>148</v>
      </c>
      <c r="EN5" s="2" t="s">
        <v>145</v>
      </c>
      <c r="EO5" s="2" t="s">
        <v>146</v>
      </c>
      <c r="EP5" s="2" t="s">
        <v>155</v>
      </c>
      <c r="EQ5" s="2" t="s">
        <v>152</v>
      </c>
      <c r="ER5" s="2" t="s">
        <v>174</v>
      </c>
      <c r="ES5" s="2" t="s">
        <v>174</v>
      </c>
      <c r="ET5" s="2" t="s">
        <v>150</v>
      </c>
      <c r="EU5" s="2" t="s">
        <v>151</v>
      </c>
      <c r="EV5" s="2" t="s">
        <v>164</v>
      </c>
      <c r="EW5" s="2" t="s">
        <v>155</v>
      </c>
      <c r="EX5" s="2" t="s">
        <v>8</v>
      </c>
      <c r="EY5" s="2" t="s">
        <v>145</v>
      </c>
      <c r="EZ5" s="2" t="s">
        <v>146</v>
      </c>
      <c r="FA5" s="2" t="s">
        <v>174</v>
      </c>
      <c r="FB5" s="2" t="s">
        <v>148</v>
      </c>
      <c r="FC5" s="2" t="s">
        <v>149</v>
      </c>
      <c r="FD5" s="2" t="s">
        <v>150</v>
      </c>
      <c r="FE5" s="2" t="s">
        <v>158</v>
      </c>
      <c r="FF5" s="2" t="s">
        <v>155</v>
      </c>
      <c r="FG5" s="2" t="s">
        <v>173</v>
      </c>
      <c r="FH5" s="2" t="s">
        <v>150</v>
      </c>
      <c r="FI5" s="2" t="s">
        <v>158</v>
      </c>
      <c r="FJ5" s="2" t="s">
        <v>157</v>
      </c>
      <c r="FK5" s="2" t="s">
        <v>148</v>
      </c>
      <c r="FL5" s="2" t="s">
        <v>146</v>
      </c>
      <c r="FM5" s="2" t="s">
        <v>157</v>
      </c>
      <c r="FN5" s="2" t="s">
        <v>155</v>
      </c>
      <c r="FO5" s="2" t="s">
        <v>148</v>
      </c>
      <c r="FP5" s="2" t="s">
        <v>146</v>
      </c>
      <c r="FQ5" s="2" t="s">
        <v>155</v>
      </c>
      <c r="FR5" s="2" t="s">
        <v>152</v>
      </c>
      <c r="FS5" s="2" t="s">
        <v>155</v>
      </c>
      <c r="FT5" s="2" t="s">
        <v>153</v>
      </c>
      <c r="FU5" s="2" t="s">
        <v>152</v>
      </c>
      <c r="FV5" s="2" t="s">
        <v>151</v>
      </c>
      <c r="FW5" s="2" t="s">
        <v>150</v>
      </c>
      <c r="FX5" s="2" t="s">
        <v>158</v>
      </c>
      <c r="FY5" s="2" t="s">
        <v>155</v>
      </c>
      <c r="FZ5" s="2" t="s">
        <v>159</v>
      </c>
      <c r="GA5" s="2" t="s">
        <v>150</v>
      </c>
      <c r="GB5" s="2" t="s">
        <v>158</v>
      </c>
      <c r="GC5" s="2" t="s">
        <v>174</v>
      </c>
      <c r="GD5" s="2" t="s">
        <v>148</v>
      </c>
      <c r="GE5" s="2" t="s">
        <v>145</v>
      </c>
      <c r="GF5" s="2" t="s">
        <v>146</v>
      </c>
      <c r="GG5" s="2" t="s">
        <v>164</v>
      </c>
    </row>
    <row r="6" customFormat="false" ht="15" hidden="false" customHeight="false" outlineLevel="0" collapsed="false">
      <c r="A6" s="2" t="s">
        <v>8</v>
      </c>
      <c r="B6" s="2" t="s">
        <v>158</v>
      </c>
      <c r="C6" s="2" t="s">
        <v>148</v>
      </c>
      <c r="D6" s="2" t="s">
        <v>151</v>
      </c>
      <c r="E6" s="2" t="s">
        <v>148</v>
      </c>
      <c r="F6" s="2" t="s">
        <v>165</v>
      </c>
      <c r="G6" s="2" t="s">
        <v>152</v>
      </c>
      <c r="H6" s="2" t="s">
        <v>153</v>
      </c>
      <c r="I6" s="2" t="s">
        <v>148</v>
      </c>
      <c r="J6" s="2" t="s">
        <v>151</v>
      </c>
      <c r="K6" s="2" t="s">
        <v>154</v>
      </c>
      <c r="L6" s="2" t="s">
        <v>155</v>
      </c>
      <c r="M6" s="2" t="s">
        <v>179</v>
      </c>
      <c r="N6" s="2" t="s">
        <v>150</v>
      </c>
      <c r="O6" s="2" t="s">
        <v>159</v>
      </c>
      <c r="P6" s="2" t="s">
        <v>150</v>
      </c>
      <c r="Q6" s="2" t="s">
        <v>153</v>
      </c>
      <c r="R6" s="2" t="s">
        <v>192</v>
      </c>
      <c r="S6" s="2" t="s">
        <v>155</v>
      </c>
      <c r="T6" s="2" t="s">
        <v>163</v>
      </c>
      <c r="U6" s="2" t="s">
        <v>155</v>
      </c>
      <c r="V6" s="2" t="s">
        <v>166</v>
      </c>
      <c r="W6" s="2" t="s">
        <v>155</v>
      </c>
      <c r="X6" s="2" t="s">
        <v>8</v>
      </c>
      <c r="Y6" s="2" t="s">
        <v>158</v>
      </c>
      <c r="Z6" s="2" t="s">
        <v>148</v>
      </c>
      <c r="AA6" s="2" t="s">
        <v>151</v>
      </c>
      <c r="AB6" s="2" t="s">
        <v>148</v>
      </c>
      <c r="AC6" s="2" t="s">
        <v>165</v>
      </c>
      <c r="AD6" s="2" t="s">
        <v>152</v>
      </c>
      <c r="AE6" s="2" t="s">
        <v>153</v>
      </c>
      <c r="AF6" s="2" t="s">
        <v>170</v>
      </c>
      <c r="AG6" s="2" t="s">
        <v>155</v>
      </c>
      <c r="AH6" s="2" t="s">
        <v>190</v>
      </c>
      <c r="AI6" s="2" t="s">
        <v>155</v>
      </c>
      <c r="AJ6" s="2" t="s">
        <v>166</v>
      </c>
      <c r="AK6" s="2" t="s">
        <v>155</v>
      </c>
      <c r="AL6" s="2" t="s">
        <v>178</v>
      </c>
      <c r="AM6" s="2" t="s">
        <v>148</v>
      </c>
      <c r="AN6" s="2" t="s">
        <v>157</v>
      </c>
      <c r="AO6" s="2" t="s">
        <v>182</v>
      </c>
      <c r="AP6" s="2" t="s">
        <v>170</v>
      </c>
      <c r="AQ6" s="2" t="s">
        <v>155</v>
      </c>
      <c r="AR6" s="2" t="s">
        <v>193</v>
      </c>
      <c r="AS6" s="2" t="s">
        <v>155</v>
      </c>
      <c r="AT6" s="2" t="s">
        <v>166</v>
      </c>
      <c r="AU6" s="2" t="s">
        <v>155</v>
      </c>
      <c r="AV6" s="2" t="s">
        <v>167</v>
      </c>
      <c r="AW6" s="2" t="s">
        <v>150</v>
      </c>
      <c r="AX6" s="2" t="s">
        <v>149</v>
      </c>
      <c r="AY6" s="2" t="s">
        <v>148</v>
      </c>
      <c r="AZ6" s="2" t="s">
        <v>172</v>
      </c>
      <c r="BA6" s="2" t="s">
        <v>173</v>
      </c>
      <c r="BB6" s="2" t="s">
        <v>170</v>
      </c>
      <c r="BC6" s="2" t="s">
        <v>155</v>
      </c>
      <c r="BD6" s="2" t="s">
        <v>161</v>
      </c>
      <c r="BE6" s="2" t="s">
        <v>162</v>
      </c>
      <c r="BF6" s="2" t="s">
        <v>194</v>
      </c>
      <c r="BG6" s="2" t="s">
        <v>155</v>
      </c>
      <c r="BH6" s="2" t="s">
        <v>166</v>
      </c>
      <c r="BI6" s="2" t="s">
        <v>155</v>
      </c>
      <c r="BJ6" s="2" t="s">
        <v>179</v>
      </c>
      <c r="BK6" s="2" t="s">
        <v>145</v>
      </c>
      <c r="BL6" s="2" t="s">
        <v>186</v>
      </c>
      <c r="BM6" s="2" t="s">
        <v>164</v>
      </c>
    </row>
  </sheetData>
  <autoFilter ref="A1:A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2026-10-08T19:56:42Z</dcterms:created>
  <dc:creator>openpyxl</dc:creator>
  <dc:description/>
  <dc:language>en-US</dc:language>
  <cp:lastModifiedBy/>
  <dcterms:modified xsi:type="dcterms:W3CDTF">2026-10-08T19:56:42Z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